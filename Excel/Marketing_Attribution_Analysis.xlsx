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f564c0549e5c60/Desktop/Marketing-Attribution-CAC-Analysis/Excel/"/>
    </mc:Choice>
  </mc:AlternateContent>
  <xr:revisionPtr revIDLastSave="635" documentId="8_{F7B2AF5C-F3A8-4A9E-9E62-2EC4633E3180}" xr6:coauthVersionLast="47" xr6:coauthVersionMax="47" xr10:uidLastSave="{68254B59-036B-4C34-A83E-76ACFEA054DA}"/>
  <bookViews>
    <workbookView xWindow="-108" yWindow="-108" windowWidth="23256" windowHeight="13896" tabRatio="818" firstSheet="1" activeTab="4" xr2:uid="{7A1C9871-8E7A-47E5-9C6F-B253EB25144F}"/>
  </bookViews>
  <sheets>
    <sheet name="Executive_Summary" sheetId="1" r:id="rId1"/>
    <sheet name="Channel_Performance" sheetId="2" r:id="rId2"/>
    <sheet name="Attribution_Comparison" sheetId="3" r:id="rId3"/>
    <sheet name="Paid_Channel_Analysis" sheetId="4" r:id="rId4"/>
    <sheet name="Budget_Model" sheetId="5" r:id="rId5"/>
    <sheet name="Sensitivity_Analysis" sheetId="6" r:id="rId6"/>
    <sheet name="QA_Reconciliation" sheetId="7" r:id="rId7"/>
    <sheet name="Assumptions" sheetId="8" r:id="rId8"/>
    <sheet name="Sheet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3" i="5"/>
  <c r="C4" i="7"/>
  <c r="C6" i="7" s="1"/>
  <c r="B4" i="7"/>
  <c r="B3" i="1"/>
  <c r="D3" i="4"/>
  <c r="F3" i="4" s="1"/>
  <c r="C3" i="5" s="1"/>
  <c r="D4" i="4"/>
  <c r="F4" i="4" s="1"/>
  <c r="C4" i="5" s="1"/>
  <c r="D2" i="4"/>
  <c r="B3" i="7"/>
  <c r="B2" i="7"/>
  <c r="B5" i="7" s="1"/>
  <c r="C2" i="7"/>
  <c r="D2" i="7"/>
  <c r="E2" i="7" s="1"/>
  <c r="D3" i="7"/>
  <c r="E3" i="7" s="1"/>
  <c r="C5" i="7"/>
  <c r="C3" i="7"/>
  <c r="B7" i="1"/>
  <c r="B6" i="1"/>
  <c r="B5" i="1"/>
  <c r="B4" i="1"/>
  <c r="B2" i="1"/>
  <c r="C12" i="5"/>
  <c r="C13" i="5"/>
  <c r="C11" i="5"/>
  <c r="B4" i="5"/>
  <c r="B3" i="5"/>
  <c r="B2" i="5"/>
  <c r="F2" i="4"/>
  <c r="C2" i="5" s="1"/>
  <c r="B11" i="5" s="1"/>
  <c r="E3" i="4"/>
  <c r="E4" i="4"/>
  <c r="E2" i="4"/>
  <c r="B32" i="3" a="1"/>
  <c r="B32" i="3" s="1"/>
  <c r="B33" i="3" a="1"/>
  <c r="B33" i="3" s="1"/>
  <c r="B34" i="3" a="1"/>
  <c r="B34" i="3" s="1"/>
  <c r="B35" i="3" a="1"/>
  <c r="B35" i="3" s="1"/>
  <c r="B31" i="3" a="1"/>
  <c r="B31" i="3" s="1"/>
  <c r="E23" i="3"/>
  <c r="E24" i="3"/>
  <c r="E25" i="3"/>
  <c r="E26" i="3"/>
  <c r="E27" i="3"/>
  <c r="E28" i="3"/>
  <c r="E22" i="3"/>
  <c r="D23" i="3"/>
  <c r="D24" i="3"/>
  <c r="D25" i="3"/>
  <c r="D26" i="3"/>
  <c r="D27" i="3"/>
  <c r="D28" i="3"/>
  <c r="D22" i="3"/>
  <c r="C23" i="3"/>
  <c r="C24" i="3"/>
  <c r="C25" i="3"/>
  <c r="C26" i="3"/>
  <c r="C27" i="3"/>
  <c r="C28" i="3"/>
  <c r="C22" i="3"/>
  <c r="B23" i="3"/>
  <c r="B24" i="3"/>
  <c r="B25" i="3"/>
  <c r="B26" i="3"/>
  <c r="B27" i="3"/>
  <c r="B28" i="3"/>
  <c r="B22" i="3"/>
  <c r="A23" i="3"/>
  <c r="A24" i="3"/>
  <c r="A25" i="3"/>
  <c r="A26" i="3"/>
  <c r="A27" i="3"/>
  <c r="A28" i="3"/>
  <c r="A22" i="3"/>
  <c r="F13" i="3"/>
  <c r="F14" i="3"/>
  <c r="F15" i="3"/>
  <c r="F16" i="3"/>
  <c r="F17" i="3"/>
  <c r="F18" i="3"/>
  <c r="E13" i="3"/>
  <c r="E14" i="3"/>
  <c r="E15" i="3"/>
  <c r="E16" i="3"/>
  <c r="E17" i="3"/>
  <c r="E18" i="3"/>
  <c r="D13" i="3"/>
  <c r="D14" i="3"/>
  <c r="D15" i="3"/>
  <c r="D16" i="3"/>
  <c r="D17" i="3"/>
  <c r="D18" i="3"/>
  <c r="D12" i="3"/>
  <c r="C13" i="3"/>
  <c r="C14" i="3"/>
  <c r="C15" i="3"/>
  <c r="C16" i="3"/>
  <c r="C17" i="3"/>
  <c r="C18" i="3"/>
  <c r="C12" i="3"/>
  <c r="E12" i="3"/>
  <c r="F12" i="3"/>
  <c r="B13" i="3"/>
  <c r="B14" i="3"/>
  <c r="B15" i="3"/>
  <c r="B16" i="3"/>
  <c r="B17" i="3"/>
  <c r="B18" i="3"/>
  <c r="B12" i="3"/>
  <c r="J3" i="2"/>
  <c r="J4" i="2"/>
  <c r="J5" i="2"/>
  <c r="J6" i="2"/>
  <c r="J7" i="2"/>
  <c r="J8" i="2"/>
  <c r="J2" i="2"/>
  <c r="I3" i="2"/>
  <c r="I4" i="2"/>
  <c r="I5" i="2"/>
  <c r="I6" i="2"/>
  <c r="I7" i="2"/>
  <c r="I8" i="2"/>
  <c r="I2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F3" i="2"/>
  <c r="F4" i="2"/>
  <c r="F5" i="2"/>
  <c r="F6" i="2"/>
  <c r="F7" i="2"/>
  <c r="F8" i="2"/>
  <c r="F2" i="2"/>
  <c r="D4" i="7" l="1"/>
  <c r="E4" i="7" s="1"/>
  <c r="D4" i="5"/>
  <c r="E4" i="5" s="1"/>
  <c r="D3" i="5"/>
  <c r="E3" i="5" s="1"/>
  <c r="F3" i="5" s="1"/>
  <c r="B6" i="7"/>
  <c r="D6" i="7" s="1"/>
  <c r="E6" i="7" s="1"/>
  <c r="D5" i="7"/>
  <c r="E5" i="7" s="1"/>
  <c r="G4" i="5"/>
  <c r="F4" i="5"/>
  <c r="H4" i="5"/>
  <c r="H4" i="1" s="1"/>
  <c r="H3" i="5"/>
  <c r="H3" i="1" s="1"/>
  <c r="B13" i="5"/>
  <c r="D12" i="5" s="1"/>
  <c r="E3" i="1" s="1"/>
  <c r="B12" i="5"/>
  <c r="D11" i="5" s="1"/>
  <c r="H2" i="5"/>
  <c r="H2" i="1" s="1"/>
  <c r="D2" i="5"/>
  <c r="E2" i="5" s="1"/>
  <c r="D13" i="5" l="1"/>
  <c r="E4" i="1" s="1"/>
  <c r="G3" i="5"/>
  <c r="E2" i="1"/>
  <c r="F2" i="5"/>
  <c r="G2" i="5"/>
  <c r="E11" i="5"/>
  <c r="F2" i="1" s="1"/>
  <c r="F3" i="1"/>
  <c r="F13" i="5" l="1"/>
  <c r="E5" i="1"/>
  <c r="D14" i="5"/>
  <c r="E14" i="5" s="1"/>
  <c r="F12" i="5"/>
  <c r="G12" i="5"/>
  <c r="G3" i="1" s="1"/>
  <c r="G11" i="5"/>
  <c r="G2" i="1" s="1"/>
  <c r="F11" i="5"/>
  <c r="G13" i="5" l="1"/>
  <c r="G4" i="1" s="1"/>
  <c r="F4" i="1"/>
  <c r="F5" i="1" s="1"/>
  <c r="G5" i="1"/>
  <c r="F14" i="5"/>
  <c r="C14" i="5" s="1"/>
  <c r="G14" i="5"/>
  <c r="B14" i="5" s="1"/>
  <c r="E8" i="6" l="1"/>
  <c r="G8" i="6" s="1"/>
  <c r="E2" i="6"/>
  <c r="G2" i="6" s="1"/>
  <c r="E9" i="6"/>
  <c r="G9" i="6" s="1"/>
  <c r="E10" i="6"/>
  <c r="G10" i="6" s="1"/>
  <c r="E3" i="6"/>
  <c r="G3" i="6" s="1"/>
  <c r="E15" i="6"/>
  <c r="G15" i="6" s="1"/>
  <c r="E4" i="6"/>
  <c r="G4" i="6" s="1"/>
  <c r="E7" i="6"/>
  <c r="G7" i="6" s="1"/>
  <c r="E11" i="6"/>
  <c r="G11" i="6" s="1"/>
  <c r="E12" i="6"/>
  <c r="G12" i="6" s="1"/>
  <c r="E13" i="6"/>
  <c r="G13" i="6" s="1"/>
  <c r="E14" i="6"/>
  <c r="G14" i="6" s="1"/>
  <c r="E16" i="6"/>
  <c r="G16" i="6" s="1"/>
  <c r="E5" i="6"/>
  <c r="G5" i="6" s="1"/>
  <c r="E6" i="6"/>
  <c r="G6" i="6" s="1"/>
  <c r="F12" i="6"/>
  <c r="H12" i="6" s="1"/>
  <c r="F13" i="6"/>
  <c r="H13" i="6" s="1"/>
  <c r="F2" i="6"/>
  <c r="H2" i="6" s="1"/>
  <c r="F14" i="6"/>
  <c r="H14" i="6" s="1"/>
  <c r="F7" i="6"/>
  <c r="H7" i="6" s="1"/>
  <c r="F8" i="6"/>
  <c r="H8" i="6" s="1"/>
  <c r="F11" i="6"/>
  <c r="H11" i="6" s="1"/>
  <c r="F3" i="6"/>
  <c r="H3" i="6" s="1"/>
  <c r="F15" i="6"/>
  <c r="H15" i="6" s="1"/>
  <c r="F4" i="6"/>
  <c r="H4" i="6" s="1"/>
  <c r="F16" i="6"/>
  <c r="H16" i="6" s="1"/>
  <c r="F5" i="6"/>
  <c r="H5" i="6" s="1"/>
  <c r="F6" i="6"/>
  <c r="H6" i="6" s="1"/>
  <c r="F9" i="6"/>
  <c r="H9" i="6" s="1"/>
  <c r="F10" i="6"/>
  <c r="H1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<sst xmlns="http://schemas.openxmlformats.org/spreadsheetml/2006/main" count="183" uniqueCount="106">
  <si>
    <t>Channel</t>
  </si>
  <si>
    <t>Touchpoints</t>
  </si>
  <si>
    <t>Marketing Spend</t>
  </si>
  <si>
    <t>Conversions</t>
  </si>
  <si>
    <t>Attributed Revenue</t>
  </si>
  <si>
    <t>CAC</t>
  </si>
  <si>
    <t>ROAS</t>
  </si>
  <si>
    <t>Spend Share %</t>
  </si>
  <si>
    <t>Conversion Share %</t>
  </si>
  <si>
    <t>Revenue Share %</t>
  </si>
  <si>
    <t>Display</t>
  </si>
  <si>
    <t>Paid Search</t>
  </si>
  <si>
    <t>Paid Social</t>
  </si>
  <si>
    <t>Referral</t>
  </si>
  <si>
    <t>Direct</t>
  </si>
  <si>
    <t>Organic Search</t>
  </si>
  <si>
    <t>Email</t>
  </si>
  <si>
    <t>First-Touch Revenue</t>
  </si>
  <si>
    <t>Last-Touch Revenue</t>
  </si>
  <si>
    <t>Linear Revenue</t>
  </si>
  <si>
    <t>Time-Decay Revenue</t>
  </si>
  <si>
    <t>Position-Based Revenue</t>
  </si>
  <si>
    <t>First-Touch %</t>
  </si>
  <si>
    <t>Last-Touch %</t>
  </si>
  <si>
    <t>Linear %</t>
  </si>
  <si>
    <t>Time-Decay %</t>
  </si>
  <si>
    <t>Position-Based %</t>
  </si>
  <si>
    <t>First vs Last</t>
  </si>
  <si>
    <t>Linear vs Last</t>
  </si>
  <si>
    <t>Time-Decay vs Last</t>
  </si>
  <si>
    <t>Position-Based vs Last</t>
  </si>
  <si>
    <t>Model</t>
  </si>
  <si>
    <t>MAE</t>
  </si>
  <si>
    <t>First-Touch</t>
  </si>
  <si>
    <t>Last-Touch</t>
  </si>
  <si>
    <t>Linear</t>
  </si>
  <si>
    <t>Time-Decay</t>
  </si>
  <si>
    <t>Position-Based</t>
  </si>
  <si>
    <t>Allocation %</t>
  </si>
  <si>
    <t>Recommended Budget</t>
  </si>
  <si>
    <t>Expected Revenue</t>
  </si>
  <si>
    <t>Current Spend</t>
  </si>
  <si>
    <t>Budget Change</t>
  </si>
  <si>
    <t>Recommendation</t>
  </si>
  <si>
    <t>Management Budget</t>
  </si>
  <si>
    <t>Expected Conversions</t>
  </si>
  <si>
    <t>Total</t>
  </si>
  <si>
    <t>Constraint</t>
  </si>
  <si>
    <t>Value</t>
  </si>
  <si>
    <t>Status</t>
  </si>
  <si>
    <t>Minimum Allocation %</t>
  </si>
  <si>
    <t>All Channels ≥ 10%</t>
  </si>
  <si>
    <t>Maximum Allocation %</t>
  </si>
  <si>
    <t>All Channels ≤ 50%</t>
  </si>
  <si>
    <t>Scenario</t>
  </si>
  <si>
    <t>Budget</t>
  </si>
  <si>
    <t>ROAS Assumption</t>
  </si>
  <si>
    <t>CAC Assumption</t>
  </si>
  <si>
    <t>Expected ROAS</t>
  </si>
  <si>
    <t>Expected CAC</t>
  </si>
  <si>
    <t>Conservative</t>
  </si>
  <si>
    <t>Base</t>
  </si>
  <si>
    <t>Aggressive</t>
  </si>
  <si>
    <t>Metric</t>
  </si>
  <si>
    <t>Source 1</t>
  </si>
  <si>
    <t>Source 2</t>
  </si>
  <si>
    <t>Difference</t>
  </si>
  <si>
    <t>Total Marketing Spend</t>
  </si>
  <si>
    <t>Total Conversions</t>
  </si>
  <si>
    <t>Total Attributed Revenue</t>
  </si>
  <si>
    <t>Overall CAC</t>
  </si>
  <si>
    <t>Overall ROAS</t>
  </si>
  <si>
    <t>Conversion Rate</t>
  </si>
  <si>
    <t>Assumption</t>
  </si>
  <si>
    <t>Value / Description</t>
  </si>
  <si>
    <t>Reason / Impact</t>
  </si>
  <si>
    <t>Data Type</t>
  </si>
  <si>
    <t>Synthetic marketing attribution data</t>
  </si>
  <si>
    <t>Used for portfolio demonstration</t>
  </si>
  <si>
    <t>Attribution Models</t>
  </si>
  <si>
    <t>First-Touch, Last-Touch, Linear, Time-Decay, Position-Based</t>
  </si>
  <si>
    <t>Compare multiple attribution approaches</t>
  </si>
  <si>
    <t>Currency</t>
  </si>
  <si>
    <t>INR (₹)</t>
  </si>
  <si>
    <t>All financial metrics are presented in INR</t>
  </si>
  <si>
    <t>Marketing Spend ÷ Conversions</t>
  </si>
  <si>
    <t>Measures acquisition efficiency</t>
  </si>
  <si>
    <t>Attributed Revenue ÷ Marketing Spend</t>
  </si>
  <si>
    <t>Measures return on marketing spend</t>
  </si>
  <si>
    <t>Time-Decay Half-Life</t>
  </si>
  <si>
    <t>7 days</t>
  </si>
  <si>
    <t>Gives more credit to recent touchpoints</t>
  </si>
  <si>
    <t>Position-Based Weights</t>
  </si>
  <si>
    <t>40% / 20% / 40%</t>
  </si>
  <si>
    <t>Higher credit to first and last touchpoints</t>
  </si>
  <si>
    <t>Used for budget allocation analysis</t>
  </si>
  <si>
    <t>Minimum Allocation</t>
  </si>
  <si>
    <t>Prevents complete removal of a channel</t>
  </si>
  <si>
    <t>Maximum Allocation</t>
  </si>
  <si>
    <t>Prevents excessive concentration in one channel</t>
  </si>
  <si>
    <t>Budget Allocation Basis</t>
  </si>
  <si>
    <t>Channel ROAS</t>
  </si>
  <si>
    <t>Higher-performing channels receive greater allocation</t>
  </si>
  <si>
    <t>Current ROAS × scenario assumption</t>
  </si>
  <si>
    <t>Used in sensitivity analysis</t>
  </si>
  <si>
    <t>Current CAC ÷ scenario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</si>
</sst>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3" formatCode="_ * #,##0.00_ ;_ * \-#,##0.00_ ;_ * &quot;-&quot;??_ ;_ @_ "/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0" fontId="2" fillId="0" borderId="0" xfId="0" applyFont="1" applyAlignment="1">
      <alignment wrapText="1"/>
    </xf>
    <xf numFmtId="9" fontId="0" fillId="0" borderId="0" xfId="0" applyNumberFormat="1"/>
    <xf numFmtId="9" fontId="2" fillId="0" borderId="0" xfId="0" applyNumberFormat="1" applyFont="1" applyAlignment="1">
      <alignment horizontal="center" vertical="center" wrapText="1"/>
    </xf>
    <xf numFmtId="4" fontId="0" fillId="0" borderId="0" xfId="0" applyNumberFormat="1"/>
    <xf numFmtId="2" fontId="0" fillId="0" borderId="0" xfId="0" applyNumberFormat="1"/>
    <xf numFmtId="9" fontId="0" fillId="0" borderId="0" xfId="2" applyFont="1"/>
    <xf numFmtId="164" fontId="0" fillId="0" borderId="0" xfId="1" applyNumberFormat="1" applyFont="1"/>
    <xf numFmtId="164" fontId="0" fillId="0" borderId="0" xfId="1" applyNumberFormat="1" applyFont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9" fontId="0" fillId="0" borderId="0" xfId="2" applyFont="1" applyAlignment="1">
      <alignment vertical="center" wrapText="1"/>
    </xf>
    <xf numFmtId="164" fontId="0" fillId="0" borderId="0" xfId="2" applyNumberFormat="1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3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&quot;₹&quot;\ #,##0.00"/>
    </dxf>
    <dxf>
      <numFmt numFmtId="13" formatCode="0%"/>
    </dxf>
    <dxf>
      <numFmt numFmtId="4" formatCode="#,##0.00"/>
    </dxf>
    <dxf>
      <numFmt numFmtId="164" formatCode="&quot;₹&quot;\ #,##0.00"/>
    </dxf>
    <dxf>
      <numFmt numFmtId="164" formatCode="&quot;₹&quot;\ #,##0.00"/>
    </dxf>
    <dxf>
      <numFmt numFmtId="4" formatCode="#,##0.00"/>
    </dxf>
    <dxf>
      <numFmt numFmtId="13" formatCode="0%"/>
    </dxf>
    <dxf>
      <numFmt numFmtId="13" formatCode="0%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2" formatCode="0.0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Marketing Spend vs Attributed Revenue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Channel_Performance!$C$1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Channel_Performance!$A$2:$A$11</c:f>
              <c:strCache>
                <c:ptCount val="7"/>
                <c:pt idx="0">
                  <c:v>Display</c:v>
                </c:pt>
                <c:pt idx="1">
                  <c:v>Paid Search</c:v>
                </c:pt>
                <c:pt idx="2">
                  <c:v>Paid Social</c:v>
                </c:pt>
                <c:pt idx="3">
                  <c:v>Referral</c:v>
                </c:pt>
                <c:pt idx="4">
                  <c:v>Direct</c:v>
                </c:pt>
                <c:pt idx="5">
                  <c:v>Organic Search</c:v>
                </c:pt>
                <c:pt idx="6">
                  <c:v>Email</c:v>
                </c:pt>
              </c:strCache>
            </c:strRef>
          </c:cat>
          <c:val>
            <c:numRef>
              <c:f>Channel_Performance!$C$2:$C$11</c:f>
              <c:numCache>
                <c:formatCode>General</c:formatCode>
                <c:ptCount val="10"/>
                <c:pt idx="0">
                  <c:v>21173.13</c:v>
                </c:pt>
                <c:pt idx="1">
                  <c:v>231677.45</c:v>
                </c:pt>
                <c:pt idx="2">
                  <c:v>72535.83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0-46C2-A3BC-47F5104BC8A3}"/>
            </c:ext>
          </c:extLst>
        </c:ser>
        <c:ser>
          <c:idx val="1"/>
          <c:order val="1"/>
          <c:tx>
            <c:strRef>
              <c:f>Channel_Performance!$E$1</c:f>
              <c:strCache>
                <c:ptCount val="1"/>
                <c:pt idx="0">
                  <c:v>Attributed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Channel_Performance!$A$2:$A$11</c:f>
              <c:strCache>
                <c:ptCount val="7"/>
                <c:pt idx="0">
                  <c:v>Display</c:v>
                </c:pt>
                <c:pt idx="1">
                  <c:v>Paid Search</c:v>
                </c:pt>
                <c:pt idx="2">
                  <c:v>Paid Social</c:v>
                </c:pt>
                <c:pt idx="3">
                  <c:v>Referral</c:v>
                </c:pt>
                <c:pt idx="4">
                  <c:v>Direct</c:v>
                </c:pt>
                <c:pt idx="5">
                  <c:v>Organic Search</c:v>
                </c:pt>
                <c:pt idx="6">
                  <c:v>Email</c:v>
                </c:pt>
              </c:strCache>
            </c:strRef>
          </c:cat>
          <c:val>
            <c:numRef>
              <c:f>Channel_Performance!$E$2:$E$11</c:f>
              <c:numCache>
                <c:formatCode>General</c:formatCode>
                <c:ptCount val="10"/>
                <c:pt idx="0">
                  <c:v>322809.36</c:v>
                </c:pt>
                <c:pt idx="1">
                  <c:v>2603620.34</c:v>
                </c:pt>
                <c:pt idx="2">
                  <c:v>451531.91</c:v>
                </c:pt>
                <c:pt idx="3">
                  <c:v>1040379.9</c:v>
                </c:pt>
                <c:pt idx="4">
                  <c:v>3464899.87</c:v>
                </c:pt>
                <c:pt idx="5">
                  <c:v>1380056.3</c:v>
                </c:pt>
                <c:pt idx="6">
                  <c:v>2091152.96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0-46C2-A3BC-47F5104B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908336"/>
        <c:axId val="334023408"/>
      </c:barChart>
      <c:catAx>
        <c:axId val="34590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23408"/>
        <c:crosses val="autoZero"/>
        <c:auto val="1"/>
        <c:lblAlgn val="ctr"/>
        <c:lblOffset val="100"/>
        <c:noMultiLvlLbl val="0"/>
      </c:catAx>
      <c:valAx>
        <c:axId val="3340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CAC by Channel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Channel_Performance!$F$1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Channel_Performance!$A$2:$A$11</c:f>
              <c:strCache>
                <c:ptCount val="7"/>
                <c:pt idx="0">
                  <c:v>Display</c:v>
                </c:pt>
                <c:pt idx="1">
                  <c:v>Paid Search</c:v>
                </c:pt>
                <c:pt idx="2">
                  <c:v>Paid Social</c:v>
                </c:pt>
                <c:pt idx="3">
                  <c:v>Referral</c:v>
                </c:pt>
                <c:pt idx="4">
                  <c:v>Direct</c:v>
                </c:pt>
                <c:pt idx="5">
                  <c:v>Organic Search</c:v>
                </c:pt>
                <c:pt idx="6">
                  <c:v>Email</c:v>
                </c:pt>
              </c:strCache>
            </c:strRef>
          </c:cat>
          <c:val>
            <c:numRef>
              <c:f>Channel_Performance!$F$2:$F$11</c:f>
              <c:numCache>
                <c:formatCode>General</c:formatCode>
                <c:ptCount val="10"/>
                <c:pt idx="0">
                  <c:v>18.395421372719376</c:v>
                </c:pt>
                <c:pt idx="1">
                  <c:v>147.19024777636596</c:v>
                </c:pt>
                <c:pt idx="2">
                  <c:v>40.61356662933931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5-4A8A-8D7E-7A495761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929392"/>
        <c:axId val="334026288"/>
      </c:barChart>
      <c:catAx>
        <c:axId val="34192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26288"/>
        <c:crosses val="autoZero"/>
        <c:auto val="1"/>
        <c:lblAlgn val="ctr"/>
        <c:lblOffset val="100"/>
        <c:noMultiLvlLbl val="0"/>
      </c:catAx>
      <c:valAx>
        <c:axId val="3340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2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ROAS by Channel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Channel_Performance!$G$1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Channel_Performance!$A$2:$A$11</c:f>
              <c:strCache>
                <c:ptCount val="7"/>
                <c:pt idx="0">
                  <c:v>Display</c:v>
                </c:pt>
                <c:pt idx="1">
                  <c:v>Paid Search</c:v>
                </c:pt>
                <c:pt idx="2">
                  <c:v>Paid Social</c:v>
                </c:pt>
                <c:pt idx="3">
                  <c:v>Referral</c:v>
                </c:pt>
                <c:pt idx="4">
                  <c:v>Direct</c:v>
                </c:pt>
                <c:pt idx="5">
                  <c:v>Organic Search</c:v>
                </c:pt>
                <c:pt idx="6">
                  <c:v>Email</c:v>
                </c:pt>
              </c:strCache>
            </c:strRef>
          </c:cat>
          <c:val>
            <c:numRef>
              <c:f>Channel_Performance!$G$2:$G$11</c:f>
              <c:numCache>
                <c:formatCode>General</c:formatCode>
                <c:ptCount val="10"/>
                <c:pt idx="0">
                  <c:v>15.246180418294317</c:v>
                </c:pt>
                <c:pt idx="1">
                  <c:v>11.238125851264332</c:v>
                </c:pt>
                <c:pt idx="2">
                  <c:v>6.2249499316406798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E-43CD-ABD9-D1ED5F2CE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5821104"/>
        <c:axId val="334034928"/>
      </c:barChart>
      <c:catAx>
        <c:axId val="3458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34928"/>
        <c:crosses val="autoZero"/>
        <c:auto val="1"/>
        <c:lblAlgn val="ctr"/>
        <c:lblOffset val="100"/>
        <c:noMultiLvlLbl val="0"/>
      </c:catAx>
      <c:valAx>
        <c:axId val="3340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2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Attribution by Channel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Channel_Performance!$J$1</c:f>
              <c:strCache>
                <c:ptCount val="1"/>
                <c:pt idx="0">
                  <c:v>Revenue Share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Channel_Performance!$A$2:$A$11</c:f>
              <c:strCache>
                <c:ptCount val="7"/>
                <c:pt idx="0">
                  <c:v>Display</c:v>
                </c:pt>
                <c:pt idx="1">
                  <c:v>Paid Search</c:v>
                </c:pt>
                <c:pt idx="2">
                  <c:v>Paid Social</c:v>
                </c:pt>
                <c:pt idx="3">
                  <c:v>Referral</c:v>
                </c:pt>
                <c:pt idx="4">
                  <c:v>Direct</c:v>
                </c:pt>
                <c:pt idx="5">
                  <c:v>Organic Search</c:v>
                </c:pt>
                <c:pt idx="6">
                  <c:v>Email</c:v>
                </c:pt>
              </c:strCache>
            </c:strRef>
          </c:cat>
          <c:val>
            <c:numRef>
              <c:f>Channel_Performance!$J$2:$J$11</c:f>
              <c:numCache>
                <c:formatCode>0.00%</c:formatCode>
                <c:ptCount val="10"/>
                <c:pt idx="0">
                  <c:v>2.8430205056578586E-2</c:v>
                </c:pt>
                <c:pt idx="1">
                  <c:v>0.22930394631580342</c:v>
                </c:pt>
                <c:pt idx="2">
                  <c:v>3.9766953445490513E-2</c:v>
                </c:pt>
                <c:pt idx="3">
                  <c:v>9.1627497708687028E-2</c:v>
                </c:pt>
                <c:pt idx="4">
                  <c:v>0.30515786098833225</c:v>
                </c:pt>
                <c:pt idx="5">
                  <c:v>0.12154320308005671</c:v>
                </c:pt>
                <c:pt idx="6">
                  <c:v>0.18417033340505146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8-4141-8245-8786A6E18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834448"/>
        <c:axId val="334006608"/>
      </c:barChart>
      <c:catAx>
        <c:axId val="49383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06608"/>
        <c:crosses val="autoZero"/>
        <c:auto val="1"/>
        <c:lblAlgn val="ctr"/>
        <c:lblOffset val="100"/>
        <c:noMultiLvlLbl val="0"/>
      </c:catAx>
      <c:valAx>
        <c:axId val="3340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83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175260</xdr:rowOff>
    </xdr:from>
    <xdr:to>
      <xdr:col>6</xdr:col>
      <xdr:colOff>1226820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B11E7-41DE-42E6-9335-5A39FA717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312420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05DA86-B60C-473D-9153-C7CBD8540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45720</xdr:rowOff>
    </xdr:from>
    <xdr:to>
      <xdr:col>6</xdr:col>
      <xdr:colOff>1219200</xdr:colOff>
      <xdr:row>36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D45327-BCEB-4696-8443-EF34EE136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312420</xdr:colOff>
      <xdr:row>36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D875E8-7D6C-4684-9CEF-D8B633801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433ABE4-E818-4014-A4FF-521921A820D0}" name="Table23" displayName="Table23" ref="A1:B7" totalsRowShown="0" headerRowDxfId="7" dataDxfId="8">
  <autoFilter ref="A1:B7" xr:uid="{D433ABE4-E818-4014-A4FF-521921A820D0}"/>
  <tableColumns count="2">
    <tableColumn id="1" xr3:uid="{9F8480A7-84F6-4408-B9B7-F63681F6B3FB}" name="Metric" dataDxfId="5"/>
    <tableColumn id="2" xr3:uid="{F506B6F3-66E9-40CD-9B31-90CEA7159F6E}" name="Valu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41EC6C4-EDCA-4F2E-8D5D-81F8BCDDAD03}" name="Table24" displayName="Table24" ref="D1:H5" totalsRowShown="0">
  <autoFilter ref="D1:H5" xr:uid="{841EC6C4-EDCA-4F2E-8D5D-81F8BCDDAD03}"/>
  <tableColumns count="5">
    <tableColumn id="1" xr3:uid="{F954525D-08D7-47A3-8E6C-136010525C12}" name="Channel"/>
    <tableColumn id="2" xr3:uid="{6480E342-100D-4594-99F9-E6822E8D3B68}" name="Allocation %">
      <calculatedColumnFormula>Budget_Model!D11</calculatedColumnFormula>
    </tableColumn>
    <tableColumn id="3" xr3:uid="{6C6DE4DB-614D-4D1E-8993-7801645A2CB1}" name="Recommended Budget">
      <calculatedColumnFormula>Budget_Model!E11</calculatedColumnFormula>
    </tableColumn>
    <tableColumn id="4" xr3:uid="{094AB14F-7F15-4F74-B191-DCD9CB750C62}" name="Expected Revenue">
      <calculatedColumnFormula>Budget_Model!G11</calculatedColumnFormula>
    </tableColumn>
    <tableColumn id="5" xr3:uid="{5DE1285D-666F-43D1-88C8-F1C89F1BF1C9}" name="Recommendation">
      <calculatedColumnFormula>Budget_Model!H2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8908D-D346-444A-9ECB-EB2774B75DB3}" name="Table2" displayName="Table2" ref="A1:J8" totalsRowShown="0">
  <autoFilter ref="A1:J8" xr:uid="{5508908D-D346-444A-9ECB-EB2774B75DB3}"/>
  <tableColumns count="10">
    <tableColumn id="1" xr3:uid="{68F832ED-769D-4267-BBC3-10A8F608E2D9}" name="Channel" dataDxfId="26"/>
    <tableColumn id="2" xr3:uid="{0701C106-D363-47C1-AC3A-4311B9366009}" name="Touchpoints" dataDxfId="25"/>
    <tableColumn id="3" xr3:uid="{970210DC-7191-4DDB-B4DF-D5F84C983F5B}" name="Marketing Spend"/>
    <tableColumn id="4" xr3:uid="{2330EFC3-D150-4F0C-9D11-01B16D50B074}" name="Conversions"/>
    <tableColumn id="5" xr3:uid="{D01CE12D-51C4-4525-AB26-FF5737C392E1}" name="Attributed Revenue"/>
    <tableColumn id="6" xr3:uid="{5EC753E1-70F8-484D-B16A-21F80F4BEB18}" name="CAC">
      <calculatedColumnFormula>IFERROR(C2/D2,0)</calculatedColumnFormula>
    </tableColumn>
    <tableColumn id="7" xr3:uid="{7F19E408-EC3B-4EF7-ABA0-46CC8ABA9020}" name="ROAS">
      <calculatedColumnFormula>IFERROR(E2/C2,0)</calculatedColumnFormula>
    </tableColumn>
    <tableColumn id="8" xr3:uid="{307C133E-3783-4F46-92C0-75BBB3029C63}" name="Spend Share %" dataDxfId="24">
      <calculatedColumnFormula>IFERROR(C2/SUM($C$2:$C$8),0)</calculatedColumnFormula>
    </tableColumn>
    <tableColumn id="9" xr3:uid="{8DED1EA0-BBBB-49FD-B684-B47161568A20}" name="Conversion Share %" dataDxfId="23">
      <calculatedColumnFormula>IFERROR(D2/SUM($D$2:$D$8),0)</calculatedColumnFormula>
    </tableColumn>
    <tableColumn id="10" xr3:uid="{AF33470A-8DD1-4CF0-9E00-2210521CFE75}" name="Revenue Share %" dataDxfId="22">
      <calculatedColumnFormula>IFERROR(E2/SUM($E$2:$E$8),0)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332459-58BA-46B5-8174-B40F0141297F}" name="Table3" displayName="Table3" ref="A1:F8" totalsRowShown="0" headerRowDxfId="21">
  <autoFilter ref="A1:F8" xr:uid="{EF332459-58BA-46B5-8174-B40F0141297F}"/>
  <tableColumns count="6">
    <tableColumn id="1" xr3:uid="{4399BFCD-8663-4608-9F76-6886898A8749}" name="Channel"/>
    <tableColumn id="2" xr3:uid="{F12309B7-2283-475F-915C-3696EDE389D3}" name="First-Touch Revenue"/>
    <tableColumn id="3" xr3:uid="{7F2FB233-E3B1-4C4C-90E4-3AE9331D2C97}" name="Last-Touch Revenue"/>
    <tableColumn id="4" xr3:uid="{EBB2D0BE-1C9C-4A5F-9C18-4778DBFA9DCF}" name="Linear Revenue"/>
    <tableColumn id="5" xr3:uid="{50E29D89-DF0F-4E84-870F-6FB4A0342952}" name="Time-Decay Revenue"/>
    <tableColumn id="6" xr3:uid="{887F9A78-64BC-443C-BBE5-C226657A04F1}" name="Position-Based 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72FA3D-B525-4B36-8B98-3823F8E4959C}" name="Table9" displayName="Table9" ref="A11:F18" totalsRowShown="0" headerRowDxfId="20">
  <autoFilter ref="A11:F18" xr:uid="{8E72FA3D-B525-4B36-8B98-3823F8E4959C}"/>
  <tableColumns count="6">
    <tableColumn id="1" xr3:uid="{C31DF760-BB80-47D5-8FD8-70284FCEA2A7}" name="Channel"/>
    <tableColumn id="2" xr3:uid="{1B09CBF5-6112-4F0F-9D8B-1048BE4BCC3D}" name="First-Touch %">
      <calculatedColumnFormula>B2/SUM($B$2:$B$8)</calculatedColumnFormula>
    </tableColumn>
    <tableColumn id="3" xr3:uid="{294917C4-8FE2-40D6-BB29-30989BD2FED5}" name="Last-Touch %">
      <calculatedColumnFormula>C2/SUM($C$2:$C$8)</calculatedColumnFormula>
    </tableColumn>
    <tableColumn id="4" xr3:uid="{0EE14891-DD45-4BE4-8DD6-59D3A71A7FE9}" name="Linear %">
      <calculatedColumnFormula>D2/SUM($D$2:$D$8)</calculatedColumnFormula>
    </tableColumn>
    <tableColumn id="5" xr3:uid="{B41FE251-706A-42FB-A73A-179BFE3B4311}" name="Time-Decay %">
      <calculatedColumnFormula>E2/SUM($E$2:$E$8)</calculatedColumnFormula>
    </tableColumn>
    <tableColumn id="6" xr3:uid="{C8FB515B-4E58-458D-BCC4-A8BB8EEB006D}" name="Position-Based %">
      <calculatedColumnFormula>F2/SUM($F$2:$F$8)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8E6681-4CD5-4CF2-851E-5571C5C3C4B8}" name="Table10" displayName="Table10" ref="A21:E28" totalsRowShown="0">
  <autoFilter ref="A21:E28" xr:uid="{1F8E6681-4CD5-4CF2-851E-5571C5C3C4B8}"/>
  <tableColumns count="5">
    <tableColumn id="1" xr3:uid="{FFC78AC8-AE22-4B49-AC94-7DFEAA69FE59}" name="Channel">
      <calculatedColumnFormula>A12</calculatedColumnFormula>
    </tableColumn>
    <tableColumn id="2" xr3:uid="{E45D1592-F414-475A-A67F-88EF537D6A9F}" name="First vs Last">
      <calculatedColumnFormula>B12-C12</calculatedColumnFormula>
    </tableColumn>
    <tableColumn id="3" xr3:uid="{923BE53E-3ECA-494F-A8DB-92DB13E7A752}" name="Linear vs Last">
      <calculatedColumnFormula>D12-C12</calculatedColumnFormula>
    </tableColumn>
    <tableColumn id="4" xr3:uid="{B80A9726-AE23-41C9-A49F-6771DD9FEC0B}" name="Time-Decay vs Last">
      <calculatedColumnFormula>E12-C12</calculatedColumnFormula>
    </tableColumn>
    <tableColumn id="5" xr3:uid="{F542A237-720F-4868-982E-80D705BCE798}" name="Position-Based vs Last">
      <calculatedColumnFormula>F12-C12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6D0B1B-3C1C-467F-8C92-ECB226BB7574}" name="Table11" displayName="Table11" ref="A30:B35" totalsRowShown="0">
  <autoFilter ref="A30:B35" xr:uid="{BB6D0B1B-3C1C-467F-8C92-ECB226BB7574}"/>
  <tableColumns count="2">
    <tableColumn id="1" xr3:uid="{F928DDD3-66C4-4166-834C-34134253E96F}" name="Model"/>
    <tableColumn id="2" xr3:uid="{82E63B03-F693-4644-8811-FCE857D2FD87}" name="MA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F4115A-5A4C-4BC8-9D29-635406390459}" name="Table13" displayName="Table13" ref="A1:F4" totalsRowShown="0">
  <autoFilter ref="A1:F4" xr:uid="{0FF4115A-5A4C-4BC8-9D29-635406390459}"/>
  <tableColumns count="6">
    <tableColumn id="1" xr3:uid="{2FFB7C5B-1394-496F-9853-C9A72DBEC705}" name="Channel"/>
    <tableColumn id="2" xr3:uid="{8977BA1B-5CB8-4B6B-AD06-A64E84281135}" name="Marketing Spend"/>
    <tableColumn id="3" xr3:uid="{6B4A8432-FBB7-477B-879F-BEC5D2A88430}" name="Conversions"/>
    <tableColumn id="4" xr3:uid="{2521D574-8DEE-4C1E-98D9-95EE142FDEAF}" name="Attributed Revenue">
      <calculatedColumnFormula>Attribution_Comparison!E2</calculatedColumnFormula>
    </tableColumn>
    <tableColumn id="5" xr3:uid="{1562D4EC-8AF4-46D1-B12E-9CFB51E15020}" name="CAC" dataDxfId="19">
      <calculatedColumnFormula>B2/C2</calculatedColumnFormula>
    </tableColumn>
    <tableColumn id="6" xr3:uid="{F49EF827-A904-4CBF-8002-6A6B9446CD29}" name="ROAS" dataDxfId="18">
      <calculatedColumnFormula>D2/B2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3A3A68C-5BF1-4261-BB1E-EE8EE1554E5D}" name="Table15" displayName="Table15" ref="A1:H4" totalsRowShown="0" headerRowDxfId="30">
  <autoFilter ref="A1:H4" xr:uid="{13A3A68C-5BF1-4261-BB1E-EE8EE1554E5D}"/>
  <tableColumns count="8">
    <tableColumn id="1" xr3:uid="{5C227CC9-63FB-40A4-85D4-59F662ED6718}" name="Channel"/>
    <tableColumn id="7" xr3:uid="{F89C5313-A7BF-4449-B9FC-4CBDE143EB96}" name="Current Spend">
      <calculatedColumnFormula>Paid_Channel_Analysis!B2</calculatedColumnFormula>
    </tableColumn>
    <tableColumn id="2" xr3:uid="{7C5A7A0F-C18C-4C88-BA08-95EB402B368B}" name="ROAS">
      <calculatedColumnFormula>Paid_Channel_Analysis!F2</calculatedColumnFormula>
    </tableColumn>
    <tableColumn id="4" xr3:uid="{99EA8850-E112-422B-8B47-5D149ED3C5E3}" name="Allocation %" dataDxfId="29">
      <calculatedColumnFormula>C2/SUM($C$2:$C$4)</calculatedColumnFormula>
    </tableColumn>
    <tableColumn id="5" xr3:uid="{48C8702E-EAB5-4203-8960-116A807C95E9}" name="Recommended Budget">
      <calculatedColumnFormula>D2*SUM($B$2:$B$4)</calculatedColumnFormula>
    </tableColumn>
    <tableColumn id="6" xr3:uid="{6F839E4B-1926-4564-948B-773B1238A547}" name="Expected Revenue">
      <calculatedColumnFormula>E2*C2</calculatedColumnFormula>
    </tableColumn>
    <tableColumn id="3" xr3:uid="{2AE68E1C-531A-4733-A823-318D8A60E3A3}" name="Budget Change">
      <calculatedColumnFormula>E2-B2</calculatedColumnFormula>
    </tableColumn>
    <tableColumn id="8" xr3:uid="{F9721152-046C-4F8D-9070-3E898BAD31E6}" name="Recommendation">
      <calculatedColumnFormula>IF(C2&gt;=5,"Increase / Prioritize",IF(C2&gt;=3,"Maintain / Optimize","Reduce"))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25B16B4-5EE9-4E62-929E-680C8501168A}" name="Table16" displayName="Table16" ref="A10:G14" totalsRowShown="0">
  <autoFilter ref="A10:G14" xr:uid="{725B16B4-5EE9-4E62-929E-680C8501168A}"/>
  <tableColumns count="7">
    <tableColumn id="1" xr3:uid="{98B99680-65A6-4328-ABC5-6E897592893D}" name="Channel"/>
    <tableColumn id="2" xr3:uid="{12A95862-1FD2-4029-8FAC-A99F24C2A087}" name="ROAS">
      <calculatedColumnFormula>Budget_Model!C2</calculatedColumnFormula>
    </tableColumn>
    <tableColumn id="3" xr3:uid="{0940EB00-2834-4B69-866B-CD5E45D6867E}" name="CAC">
      <calculatedColumnFormula>Paid_Channel_Analysis!E2</calculatedColumnFormula>
    </tableColumn>
    <tableColumn id="4" xr3:uid="{843CD341-5B73-447B-93D5-E51AF1E96657}" name="Allocation %" dataCellStyle="Percent">
      <calculatedColumnFormula>B11/SUM($B$11:$B$14)</calculatedColumnFormula>
    </tableColumn>
    <tableColumn id="5" xr3:uid="{F4BF6D71-42E3-40D3-BCEA-2C6115EFD2DB}" name="Recommended Budget">
      <calculatedColumnFormula>$B$7*D11</calculatedColumnFormula>
    </tableColumn>
    <tableColumn id="6" xr3:uid="{5217E341-8C94-4F9D-9A65-B3151B737DA5}" name="Expected Conversions" dataDxfId="28">
      <calculatedColumnFormula>E11/C11</calculatedColumnFormula>
    </tableColumn>
    <tableColumn id="7" xr3:uid="{2652264D-71BD-4206-B391-3E637B16638C}" name="Expected Revenue" dataDxfId="27">
      <calculatedColumnFormula>E11*B11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52843-3277-4260-8D9B-9F24E8FED0BB}" name="Table1" displayName="Table1" ref="A17:C19" totalsRowShown="0">
  <autoFilter ref="A17:C19" xr:uid="{8AB52843-3277-4260-8D9B-9F24E8FED0BB}"/>
  <tableColumns count="3">
    <tableColumn id="1" xr3:uid="{C89BF372-2270-4CE2-8EF5-E8A1BBC600FD}" name="Constraint"/>
    <tableColumn id="2" xr3:uid="{30263A6C-B2F8-4197-8BEB-710824F07D28}" name="Value" dataDxfId="17"/>
    <tableColumn id="3" xr3:uid="{D3340B1B-BB6E-4912-9B5C-0C773C5D67E0}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87CE9D-5F37-475C-AB67-FD618DB66CDD}" name="Table4" displayName="Table4" ref="A1:H16" totalsRowShown="0">
  <autoFilter ref="A1:H16" xr:uid="{3187CE9D-5F37-475C-AB67-FD618DB66CDD}"/>
  <tableColumns count="8">
    <tableColumn id="1" xr3:uid="{792360C6-7F8C-45E4-A64A-DE488FA2637F}" name="Scenario"/>
    <tableColumn id="2" xr3:uid="{52623D98-6BE5-49F0-A796-3AD3949FA704}" name="Budget" dataDxfId="10"/>
    <tableColumn id="3" xr3:uid="{335CB7B1-CEEC-4843-8492-CAF39CC9B7C3}" name="ROAS Assumption" dataDxfId="11"/>
    <tableColumn id="4" xr3:uid="{B591336F-CC62-46EA-97E9-5FAA974F3E05}" name="CAC Assumption" dataDxfId="16"/>
    <tableColumn id="5" xr3:uid="{98E15AD0-5684-4D57-BDB7-EB00661C35AB}" name="Expected ROAS" dataDxfId="12">
      <calculatedColumnFormula>Budget_Model!$B$14*C2</calculatedColumnFormula>
    </tableColumn>
    <tableColumn id="6" xr3:uid="{96CFF222-71EF-4B4F-9946-ECA23BA1A0AE}" name="Expected CAC" dataDxfId="13">
      <calculatedColumnFormula>Budget_Model!$C$14*D2</calculatedColumnFormula>
    </tableColumn>
    <tableColumn id="7" xr3:uid="{2B186376-A793-4DBA-A680-B668035AB4F8}" name="Expected Revenue" dataDxfId="14">
      <calculatedColumnFormula>B2*E2</calculatedColumnFormula>
    </tableColumn>
    <tableColumn id="8" xr3:uid="{1ADE41A1-EF29-463D-B739-C85547DB081D}" name="Expected Conversions" dataDxfId="15">
      <calculatedColumnFormula>B2/F2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A5A609-9A18-4F26-8B91-57A6EB75FE2E}" name="Table5" displayName="Table5" ref="A1:E6" totalsRowShown="0">
  <autoFilter ref="A1:E6" xr:uid="{AFA5A609-9A18-4F26-8B91-57A6EB75FE2E}"/>
  <tableColumns count="5">
    <tableColumn id="1" xr3:uid="{F09FC6F7-9E26-4BA1-AABB-59B7FD3E1C49}" name="Metric" dataDxfId="9"/>
    <tableColumn id="2" xr3:uid="{E2327D90-6550-4CA2-9205-F097B57F752D}" name="Source 1"/>
    <tableColumn id="3" xr3:uid="{C3B20607-AF77-47F6-830D-E497C61A5185}" name="Source 2"/>
    <tableColumn id="4" xr3:uid="{4B546069-14E7-4519-96CE-5CDA2F6A9D9F}" name="Difference">
      <calculatedColumnFormula>B2-C2</calculatedColumnFormula>
    </tableColumn>
    <tableColumn id="5" xr3:uid="{99F7AFDE-3B6E-4275-86BF-C31A96516E3C}" name="Status">
      <calculatedColumnFormula>IF(ABS(D2)&lt;0.01,"MATCH","CHECK")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D7CA3F-52F4-4244-A5FD-BCE88D59928A}" name="Table26" displayName="Table26" ref="A2:C15" totalsRowShown="0" headerRowDxfId="4" dataDxfId="3">
  <autoFilter ref="A2:C15" xr:uid="{0CD7CA3F-52F4-4244-A5FD-BCE88D59928A}"/>
  <tableColumns count="3">
    <tableColumn id="1" xr3:uid="{A30A4F88-309A-445C-B824-834113F2A6C0}" name="Assumption" dataDxfId="2"/>
    <tableColumn id="2" xr3:uid="{DB16048A-B343-47F6-A0F7-A1AA51B66304}" name="Value / Description" dataDxfId="0"/>
    <tableColumn id="3" xr3:uid="{D5A95320-CADF-4DB1-B7DC-FF6961DE4AB6}" name="Reason / Impac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D80E-4964-46C9-9BFE-8ED9C1A7F53F}">
  <dimension ref="A1:H7"/>
  <sheetViews>
    <sheetView topLeftCell="F1" zoomScale="65" workbookViewId="0">
      <selection activeCell="B4" sqref="B4"/>
    </sheetView>
  </sheetViews>
  <sheetFormatPr defaultRowHeight="14.4" x14ac:dyDescent="0.3"/>
  <cols>
    <col min="1" max="1" width="16.6640625" customWidth="1"/>
    <col min="2" max="2" width="20.109375" customWidth="1"/>
    <col min="4" max="4" width="9.6640625" customWidth="1"/>
    <col min="5" max="5" width="13.21875" customWidth="1"/>
    <col min="6" max="6" width="21.6640625" customWidth="1"/>
    <col min="7" max="7" width="18" customWidth="1"/>
    <col min="8" max="8" width="17.6640625" customWidth="1"/>
  </cols>
  <sheetData>
    <row r="1" spans="1:8" x14ac:dyDescent="0.3">
      <c r="A1" s="15" t="s">
        <v>63</v>
      </c>
      <c r="B1" s="15" t="s">
        <v>48</v>
      </c>
      <c r="D1" t="s">
        <v>0</v>
      </c>
      <c r="E1" t="s">
        <v>38</v>
      </c>
      <c r="F1" t="s">
        <v>39</v>
      </c>
      <c r="G1" t="s">
        <v>40</v>
      </c>
      <c r="H1" t="s">
        <v>43</v>
      </c>
    </row>
    <row r="2" spans="1:8" ht="28.8" x14ac:dyDescent="0.3">
      <c r="A2" s="2" t="s">
        <v>67</v>
      </c>
      <c r="B2" s="16">
        <f>SUM(Channel_Performance!C2:C8)</f>
        <v>325386.41000000003</v>
      </c>
      <c r="D2" t="s">
        <v>10</v>
      </c>
      <c r="E2" s="5">
        <f>Budget_Model!D11</f>
        <v>0.44652472809793797</v>
      </c>
      <c r="F2" s="7">
        <f>Budget_Model!E11</f>
        <v>446524.728097938</v>
      </c>
      <c r="G2" s="7">
        <f>Budget_Model!G11</f>
        <v>2819382.8025832386</v>
      </c>
      <c r="H2" t="str">
        <f>Budget_Model!H2</f>
        <v>Increase / Prioritize</v>
      </c>
    </row>
    <row r="3" spans="1:8" ht="28.8" x14ac:dyDescent="0.3">
      <c r="A3" s="2" t="s">
        <v>69</v>
      </c>
      <c r="B3" s="16">
        <f>SUM(Channel_Performance!E2:E8)</f>
        <v>11354450.640000001</v>
      </c>
      <c r="D3" t="s">
        <v>11</v>
      </c>
      <c r="E3" s="5">
        <f>Budget_Model!D12</f>
        <v>0.36166717652851693</v>
      </c>
      <c r="F3" s="7">
        <f>Budget_Model!E12</f>
        <v>361667.17652851692</v>
      </c>
      <c r="G3" s="7">
        <f>Budget_Model!G12</f>
        <v>1849614.4446343537</v>
      </c>
      <c r="H3" t="str">
        <f>Budget_Model!H3</f>
        <v>Increase / Prioritize</v>
      </c>
    </row>
    <row r="4" spans="1:8" x14ac:dyDescent="0.3">
      <c r="A4" s="2" t="s">
        <v>68</v>
      </c>
      <c r="B4" s="17">
        <f>SUM(Channel_Performance!D2:D8)</f>
        <v>10461</v>
      </c>
      <c r="D4" t="s">
        <v>12</v>
      </c>
      <c r="E4" s="5">
        <f>Budget_Model!D13</f>
        <v>0.19180809537354507</v>
      </c>
      <c r="F4" s="7">
        <f>Budget_Model!E13</f>
        <v>191808.09537354507</v>
      </c>
      <c r="G4" s="7">
        <f>Budget_Model!G13</f>
        <v>520231.7845488704</v>
      </c>
      <c r="H4" t="str">
        <f>Budget_Model!H4</f>
        <v>Reduce</v>
      </c>
    </row>
    <row r="5" spans="1:8" x14ac:dyDescent="0.3">
      <c r="A5" s="2" t="s">
        <v>72</v>
      </c>
      <c r="B5" s="18">
        <f>SUM(Channel_Performance!D2:D8)/SUM(Channel_Performance!B2:B8)</f>
        <v>0.21984280430396771</v>
      </c>
      <c r="D5" t="s">
        <v>46</v>
      </c>
      <c r="E5" s="5">
        <f>SUM(E2:E4)</f>
        <v>1</v>
      </c>
      <c r="F5" s="7">
        <f>SUM(F2:F4)</f>
        <v>1000000</v>
      </c>
      <c r="G5" s="7">
        <f>SUM(G2:G4)</f>
        <v>5189229.0317664621</v>
      </c>
    </row>
    <row r="6" spans="1:8" x14ac:dyDescent="0.3">
      <c r="A6" s="2" t="s">
        <v>70</v>
      </c>
      <c r="B6" s="19">
        <f>B2/B4</f>
        <v>31.104713698499189</v>
      </c>
    </row>
    <row r="7" spans="1:8" x14ac:dyDescent="0.3">
      <c r="A7" s="2" t="s">
        <v>71</v>
      </c>
      <c r="B7" s="17">
        <f>B3/B2</f>
        <v>34.895282319873161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11C2-0E83-4FE9-BCE2-6E977D41B8D9}">
  <dimension ref="A1:J11"/>
  <sheetViews>
    <sheetView zoomScaleNormal="100" workbookViewId="0">
      <selection activeCell="E2" sqref="E2"/>
    </sheetView>
  </sheetViews>
  <sheetFormatPr defaultRowHeight="14.4" x14ac:dyDescent="0.3"/>
  <cols>
    <col min="1" max="1" width="9.6640625" customWidth="1"/>
    <col min="2" max="2" width="13" customWidth="1"/>
    <col min="3" max="3" width="16.77734375" customWidth="1"/>
    <col min="4" max="4" width="13" customWidth="1"/>
    <col min="5" max="5" width="18.77734375" customWidth="1"/>
    <col min="8" max="8" width="15.21875" style="3" customWidth="1"/>
    <col min="9" max="9" width="19.109375" style="3" customWidth="1"/>
    <col min="10" max="10" width="16.88671875" style="3" customWidth="1"/>
  </cols>
  <sheetData>
    <row r="1" spans="1:10" ht="28.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>
        <v>5358</v>
      </c>
      <c r="C2">
        <v>21173.13</v>
      </c>
      <c r="D2">
        <v>1151</v>
      </c>
      <c r="E2">
        <v>322809.36</v>
      </c>
      <c r="F2">
        <f>IFERROR(C2/D2,0)</f>
        <v>18.395421372719376</v>
      </c>
      <c r="G2">
        <f>IFERROR(E2/C2,0)</f>
        <v>15.246180418294317</v>
      </c>
      <c r="H2" s="3">
        <f>IFERROR(C2/SUM($C$2:$C$8),0)</f>
        <v>6.5070726217483998E-2</v>
      </c>
      <c r="I2" s="3">
        <f>IFERROR(D2/SUM($D$2:$D$8),0)</f>
        <v>0.11002772201510372</v>
      </c>
      <c r="J2" s="3">
        <f>IFERROR(E2/SUM($E$2:$E$8),0)</f>
        <v>2.8430205056578586E-2</v>
      </c>
    </row>
    <row r="3" spans="1:10" ht="28.8" x14ac:dyDescent="0.3">
      <c r="A3" s="1" t="s">
        <v>11</v>
      </c>
      <c r="B3" s="1">
        <v>7593</v>
      </c>
      <c r="C3">
        <v>231677.45</v>
      </c>
      <c r="D3">
        <v>1574</v>
      </c>
      <c r="E3">
        <v>2603620.34</v>
      </c>
      <c r="F3">
        <f t="shared" ref="F3:F8" si="0">IFERROR(C3/D3,0)</f>
        <v>147.19024777636596</v>
      </c>
      <c r="G3">
        <f t="shared" ref="G3:G8" si="1">IFERROR(E3/C3,0)</f>
        <v>11.238125851264332</v>
      </c>
      <c r="H3" s="3">
        <f t="shared" ref="H3:H8" si="2">IFERROR(C3/SUM($C$2:$C$8),0)</f>
        <v>0.71200714866979231</v>
      </c>
      <c r="I3" s="3">
        <f t="shared" ref="I3:I8" si="3">IFERROR(D3/SUM($D$2:$D$8),0)</f>
        <v>0.15046362680432082</v>
      </c>
      <c r="J3" s="3">
        <f t="shared" ref="J3:J8" si="4">IFERROR(E3/SUM($E$2:$E$8),0)</f>
        <v>0.22930394631580342</v>
      </c>
    </row>
    <row r="4" spans="1:10" ht="28.8" x14ac:dyDescent="0.3">
      <c r="A4" s="1" t="s">
        <v>12</v>
      </c>
      <c r="B4" s="1">
        <v>7107</v>
      </c>
      <c r="C4">
        <v>72535.83</v>
      </c>
      <c r="D4">
        <v>1786</v>
      </c>
      <c r="E4">
        <v>451531.91</v>
      </c>
      <c r="F4">
        <f t="shared" si="0"/>
        <v>40.61356662933931</v>
      </c>
      <c r="G4">
        <f t="shared" si="1"/>
        <v>6.2249499316406798</v>
      </c>
      <c r="H4" s="3">
        <f t="shared" si="2"/>
        <v>0.22292212511272366</v>
      </c>
      <c r="I4" s="3">
        <f t="shared" si="3"/>
        <v>0.17072937577669439</v>
      </c>
      <c r="J4" s="3">
        <f t="shared" si="4"/>
        <v>3.9766953445490513E-2</v>
      </c>
    </row>
    <row r="5" spans="1:10" x14ac:dyDescent="0.3">
      <c r="A5" s="1" t="s">
        <v>13</v>
      </c>
      <c r="B5" s="1">
        <v>6508</v>
      </c>
      <c r="C5">
        <v>0</v>
      </c>
      <c r="D5">
        <v>1336</v>
      </c>
      <c r="E5">
        <v>1040379.9</v>
      </c>
      <c r="F5">
        <f t="shared" si="0"/>
        <v>0</v>
      </c>
      <c r="G5">
        <f t="shared" si="1"/>
        <v>0</v>
      </c>
      <c r="H5" s="3">
        <f t="shared" si="2"/>
        <v>0</v>
      </c>
      <c r="I5" s="3">
        <f t="shared" si="3"/>
        <v>0.12771245578816556</v>
      </c>
      <c r="J5" s="3">
        <f t="shared" si="4"/>
        <v>9.1627497708687028E-2</v>
      </c>
    </row>
    <row r="6" spans="1:10" x14ac:dyDescent="0.3">
      <c r="A6" s="1" t="s">
        <v>14</v>
      </c>
      <c r="B6" s="1">
        <v>7297</v>
      </c>
      <c r="C6">
        <v>0</v>
      </c>
      <c r="D6">
        <v>1615</v>
      </c>
      <c r="E6">
        <v>3464899.87</v>
      </c>
      <c r="F6">
        <f t="shared" si="0"/>
        <v>0</v>
      </c>
      <c r="G6">
        <f t="shared" si="1"/>
        <v>0</v>
      </c>
      <c r="H6" s="3">
        <f t="shared" si="2"/>
        <v>0</v>
      </c>
      <c r="I6" s="3">
        <f t="shared" si="3"/>
        <v>0.15438294618105344</v>
      </c>
      <c r="J6" s="3">
        <f t="shared" si="4"/>
        <v>0.30515786098833225</v>
      </c>
    </row>
    <row r="7" spans="1:10" ht="28.8" x14ac:dyDescent="0.3">
      <c r="A7" s="1" t="s">
        <v>15</v>
      </c>
      <c r="B7" s="1">
        <v>6989</v>
      </c>
      <c r="C7">
        <v>0</v>
      </c>
      <c r="D7">
        <v>1454</v>
      </c>
      <c r="E7">
        <v>1380056.3</v>
      </c>
      <c r="F7">
        <f t="shared" si="0"/>
        <v>0</v>
      </c>
      <c r="G7">
        <f t="shared" si="1"/>
        <v>0</v>
      </c>
      <c r="H7" s="3">
        <f t="shared" si="2"/>
        <v>0</v>
      </c>
      <c r="I7" s="3">
        <f t="shared" si="3"/>
        <v>0.13899244814071313</v>
      </c>
      <c r="J7" s="3">
        <f t="shared" si="4"/>
        <v>0.12154320308005671</v>
      </c>
    </row>
    <row r="8" spans="1:10" x14ac:dyDescent="0.3">
      <c r="A8" s="1" t="s">
        <v>16</v>
      </c>
      <c r="B8" s="1">
        <v>6732</v>
      </c>
      <c r="C8">
        <v>0</v>
      </c>
      <c r="D8">
        <v>1545</v>
      </c>
      <c r="E8">
        <v>2091152.96</v>
      </c>
      <c r="F8">
        <f t="shared" si="0"/>
        <v>0</v>
      </c>
      <c r="G8">
        <f t="shared" si="1"/>
        <v>0</v>
      </c>
      <c r="H8" s="3">
        <f t="shared" si="2"/>
        <v>0</v>
      </c>
      <c r="I8" s="3">
        <f t="shared" si="3"/>
        <v>0.14769142529394896</v>
      </c>
      <c r="J8" s="3">
        <f t="shared" si="4"/>
        <v>0.18417033340505146</v>
      </c>
    </row>
    <row r="9" spans="1:10" x14ac:dyDescent="0.3">
      <c r="A9" s="1"/>
      <c r="B9" s="1"/>
    </row>
    <row r="10" spans="1:10" x14ac:dyDescent="0.3">
      <c r="A10" s="1"/>
      <c r="B10" s="1"/>
    </row>
    <row r="11" spans="1:10" x14ac:dyDescent="0.3">
      <c r="A11" s="1"/>
      <c r="B1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9052-98A0-4CE6-A186-E5506D99668E}">
  <dimension ref="A1:F35"/>
  <sheetViews>
    <sheetView zoomScale="75" zoomScaleNormal="100" workbookViewId="0">
      <selection activeCell="E2" sqref="E2"/>
    </sheetView>
  </sheetViews>
  <sheetFormatPr defaultRowHeight="14.4" x14ac:dyDescent="0.3"/>
  <cols>
    <col min="1" max="1" width="9.6640625" customWidth="1"/>
    <col min="2" max="2" width="19.5546875" customWidth="1"/>
    <col min="3" max="3" width="19.21875" customWidth="1"/>
    <col min="4" max="4" width="18.6640625" customWidth="1"/>
    <col min="5" max="5" width="21.33203125" customWidth="1"/>
    <col min="6" max="6" width="22.77734375" customWidth="1"/>
  </cols>
  <sheetData>
    <row r="1" spans="1:6" x14ac:dyDescent="0.3">
      <c r="A1" s="4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spans="1:6" x14ac:dyDescent="0.3">
      <c r="A2" t="s">
        <v>10</v>
      </c>
      <c r="B2">
        <v>2316174.12</v>
      </c>
      <c r="C2">
        <v>322809.36</v>
      </c>
      <c r="D2">
        <v>126726.86</v>
      </c>
      <c r="E2">
        <v>133688.35999999999</v>
      </c>
      <c r="F2">
        <v>155879.25</v>
      </c>
    </row>
    <row r="3" spans="1:6" x14ac:dyDescent="0.3">
      <c r="A3" t="s">
        <v>11</v>
      </c>
      <c r="B3">
        <v>1011016.09</v>
      </c>
      <c r="C3">
        <v>2603620.34</v>
      </c>
      <c r="D3">
        <v>1119978.44</v>
      </c>
      <c r="E3">
        <v>1184829.55</v>
      </c>
      <c r="F3">
        <v>1312501.21</v>
      </c>
    </row>
    <row r="4" spans="1:6" x14ac:dyDescent="0.3">
      <c r="A4" t="s">
        <v>12</v>
      </c>
      <c r="B4">
        <v>3541228.56</v>
      </c>
      <c r="C4">
        <v>451531.91</v>
      </c>
      <c r="D4">
        <v>185219.78</v>
      </c>
      <c r="E4">
        <v>196735.41</v>
      </c>
      <c r="F4">
        <v>221148.6</v>
      </c>
    </row>
    <row r="5" spans="1:6" x14ac:dyDescent="0.3">
      <c r="A5" t="s">
        <v>13</v>
      </c>
      <c r="B5">
        <v>1484045.4</v>
      </c>
      <c r="C5">
        <v>1040379.9</v>
      </c>
      <c r="D5">
        <v>419839.18</v>
      </c>
      <c r="E5">
        <v>447149.57</v>
      </c>
      <c r="F5">
        <v>509570.85</v>
      </c>
    </row>
    <row r="6" spans="1:6" x14ac:dyDescent="0.3">
      <c r="A6" t="s">
        <v>14</v>
      </c>
      <c r="B6">
        <v>975674.17</v>
      </c>
      <c r="C6">
        <v>3464899.87</v>
      </c>
      <c r="D6">
        <v>1515072.11</v>
      </c>
      <c r="E6">
        <v>1596352.7</v>
      </c>
      <c r="F6">
        <v>1780226.88</v>
      </c>
    </row>
    <row r="7" spans="1:6" x14ac:dyDescent="0.3">
      <c r="A7" t="s">
        <v>15</v>
      </c>
      <c r="B7">
        <v>1560292.32</v>
      </c>
      <c r="C7">
        <v>1380056.3</v>
      </c>
      <c r="D7">
        <v>598467.03</v>
      </c>
      <c r="E7">
        <v>629274.12</v>
      </c>
      <c r="F7">
        <v>694107.08</v>
      </c>
    </row>
    <row r="8" spans="1:6" x14ac:dyDescent="0.3">
      <c r="A8" t="s">
        <v>16</v>
      </c>
      <c r="B8">
        <v>466019.98</v>
      </c>
      <c r="C8">
        <v>2091152.96</v>
      </c>
      <c r="D8">
        <v>900768.26</v>
      </c>
      <c r="E8">
        <v>948861.67</v>
      </c>
      <c r="F8">
        <v>1067258.56</v>
      </c>
    </row>
    <row r="10" spans="1:6" x14ac:dyDescent="0.3">
      <c r="A10" s="1"/>
      <c r="B10" s="1"/>
    </row>
    <row r="11" spans="1:6" x14ac:dyDescent="0.3">
      <c r="A11" s="1" t="s">
        <v>0</v>
      </c>
      <c r="B11" s="6" t="s">
        <v>22</v>
      </c>
      <c r="C11" s="6" t="s">
        <v>23</v>
      </c>
      <c r="D11" s="6" t="s">
        <v>24</v>
      </c>
      <c r="E11" s="6" t="s">
        <v>25</v>
      </c>
      <c r="F11" s="6" t="s">
        <v>26</v>
      </c>
    </row>
    <row r="12" spans="1:6" ht="28.8" customHeight="1" x14ac:dyDescent="0.3">
      <c r="A12" t="s">
        <v>10</v>
      </c>
      <c r="B12" s="5">
        <f>B2/SUM($B$2:$B$8)</f>
        <v>0.20398821514450655</v>
      </c>
      <c r="C12" s="5">
        <f t="shared" ref="C12:C18" si="0">C2/SUM($C$2:$C$8)</f>
        <v>2.8430205056578586E-2</v>
      </c>
      <c r="D12" s="5">
        <f>D2/SUM($D$2:$D$8)</f>
        <v>2.6042949807278424E-2</v>
      </c>
      <c r="E12" s="5">
        <f t="shared" ref="E12:E18" si="1">E2/SUM($E$2:$E$8)</f>
        <v>2.6025148306717746E-2</v>
      </c>
      <c r="F12" s="5">
        <f t="shared" ref="F12:F18" si="2">F2/SUM($F$2:$F$8)</f>
        <v>2.7153388184567834E-2</v>
      </c>
    </row>
    <row r="13" spans="1:6" ht="28.8" customHeight="1" x14ac:dyDescent="0.3">
      <c r="A13" t="s">
        <v>11</v>
      </c>
      <c r="B13" s="5">
        <f t="shared" ref="B13:B18" si="3">B3/SUM($B$2:$B$8)</f>
        <v>8.9041391966454483E-2</v>
      </c>
      <c r="C13" s="5">
        <f t="shared" si="0"/>
        <v>0.22930394631580342</v>
      </c>
      <c r="D13" s="5">
        <f t="shared" ref="D13:D18" si="4">D3/SUM($D$2:$D$8)</f>
        <v>0.23016069598942157</v>
      </c>
      <c r="E13" s="5">
        <f t="shared" si="1"/>
        <v>0.23065108104349291</v>
      </c>
      <c r="F13" s="5">
        <f t="shared" si="2"/>
        <v>0.22863116705940645</v>
      </c>
    </row>
    <row r="14" spans="1:6" x14ac:dyDescent="0.3">
      <c r="A14" t="s">
        <v>12</v>
      </c>
      <c r="B14" s="5">
        <f t="shared" si="3"/>
        <v>0.31188021968449897</v>
      </c>
      <c r="C14" s="5">
        <f t="shared" si="0"/>
        <v>3.9766953445490513E-2</v>
      </c>
      <c r="D14" s="5">
        <f t="shared" si="4"/>
        <v>3.8063512611731659E-2</v>
      </c>
      <c r="E14" s="5">
        <f t="shared" si="1"/>
        <v>3.829853416133553E-2</v>
      </c>
      <c r="F14" s="5">
        <f t="shared" si="2"/>
        <v>3.8522983541900015E-2</v>
      </c>
    </row>
    <row r="15" spans="1:6" ht="28.8" customHeight="1" x14ac:dyDescent="0.3">
      <c r="A15" t="s">
        <v>13</v>
      </c>
      <c r="B15" s="5">
        <f t="shared" si="3"/>
        <v>0.13070164705035872</v>
      </c>
      <c r="C15" s="5">
        <f t="shared" si="0"/>
        <v>9.1627497708687028E-2</v>
      </c>
      <c r="D15" s="5">
        <f t="shared" si="4"/>
        <v>8.6278873254406613E-2</v>
      </c>
      <c r="E15" s="5">
        <f t="shared" si="1"/>
        <v>8.7046724745034415E-2</v>
      </c>
      <c r="F15" s="5">
        <f t="shared" si="2"/>
        <v>8.8764701508316127E-2</v>
      </c>
    </row>
    <row r="16" spans="1:6" ht="28.8" customHeight="1" x14ac:dyDescent="0.3">
      <c r="A16" t="s">
        <v>14</v>
      </c>
      <c r="B16" s="5">
        <f t="shared" si="3"/>
        <v>8.592878695186261E-2</v>
      </c>
      <c r="C16" s="5">
        <f t="shared" si="0"/>
        <v>0.30515786098833225</v>
      </c>
      <c r="D16" s="5">
        <f t="shared" si="4"/>
        <v>0.31135425366917019</v>
      </c>
      <c r="E16" s="5">
        <f t="shared" si="1"/>
        <v>0.3107624012092699</v>
      </c>
      <c r="F16" s="5">
        <f t="shared" si="2"/>
        <v>0.31010664683876821</v>
      </c>
    </row>
    <row r="17" spans="1:6" x14ac:dyDescent="0.3">
      <c r="A17" t="s">
        <v>15</v>
      </c>
      <c r="B17" s="5">
        <f t="shared" si="3"/>
        <v>0.13741680416517271</v>
      </c>
      <c r="C17" s="5">
        <f t="shared" si="0"/>
        <v>0.12154320308005671</v>
      </c>
      <c r="D17" s="5">
        <f t="shared" si="4"/>
        <v>0.12298771407735495</v>
      </c>
      <c r="E17" s="5">
        <f t="shared" si="1"/>
        <v>0.12250095893598591</v>
      </c>
      <c r="F17" s="5">
        <f t="shared" si="2"/>
        <v>0.1209099927340995</v>
      </c>
    </row>
    <row r="18" spans="1:6" x14ac:dyDescent="0.3">
      <c r="A18" t="s">
        <v>16</v>
      </c>
      <c r="B18" s="5">
        <f t="shared" si="3"/>
        <v>4.1042935037145921E-2</v>
      </c>
      <c r="C18" s="5">
        <f t="shared" si="0"/>
        <v>0.18417033340505146</v>
      </c>
      <c r="D18" s="5">
        <f t="shared" si="4"/>
        <v>0.18511200059063659</v>
      </c>
      <c r="E18" s="5">
        <f t="shared" si="1"/>
        <v>0.18471515159816365</v>
      </c>
      <c r="F18" s="5">
        <f t="shared" si="2"/>
        <v>0.18591112013294189</v>
      </c>
    </row>
    <row r="21" spans="1:6" x14ac:dyDescent="0.3">
      <c r="A21" t="s">
        <v>0</v>
      </c>
      <c r="B21" t="s">
        <v>27</v>
      </c>
      <c r="C21" t="s">
        <v>28</v>
      </c>
      <c r="D21" t="s">
        <v>29</v>
      </c>
      <c r="E21" t="s">
        <v>30</v>
      </c>
    </row>
    <row r="22" spans="1:6" x14ac:dyDescent="0.3">
      <c r="A22" t="str">
        <f>A12</f>
        <v>Display</v>
      </c>
      <c r="B22" s="5">
        <f>B12-C12</f>
        <v>0.17555801008792796</v>
      </c>
      <c r="C22" s="5">
        <f>D12-C12</f>
        <v>-2.3872552493001617E-3</v>
      </c>
      <c r="D22" s="5">
        <f>E12-C12</f>
        <v>-2.4050567498608393E-3</v>
      </c>
      <c r="E22" s="5">
        <f>F12-C12</f>
        <v>-1.2768168720107519E-3</v>
      </c>
    </row>
    <row r="23" spans="1:6" x14ac:dyDescent="0.3">
      <c r="A23" t="str">
        <f t="shared" ref="A23:A28" si="5">A13</f>
        <v>Paid Search</v>
      </c>
      <c r="B23" s="5">
        <f t="shared" ref="B23:B28" si="6">B13-C13</f>
        <v>-0.14026255434934892</v>
      </c>
      <c r="C23" s="5">
        <f t="shared" ref="C23:C28" si="7">D13-C13</f>
        <v>8.5674967361815124E-4</v>
      </c>
      <c r="D23" s="5">
        <f t="shared" ref="D23:D28" si="8">E13-C13</f>
        <v>1.3471347276894918E-3</v>
      </c>
      <c r="E23" s="5">
        <f t="shared" ref="E23:E28" si="9">F13-C13</f>
        <v>-6.7277925639697145E-4</v>
      </c>
    </row>
    <row r="24" spans="1:6" x14ac:dyDescent="0.3">
      <c r="A24" t="str">
        <f t="shared" si="5"/>
        <v>Paid Social</v>
      </c>
      <c r="B24" s="5">
        <f t="shared" si="6"/>
        <v>0.27211326623900844</v>
      </c>
      <c r="C24" s="5">
        <f t="shared" si="7"/>
        <v>-1.7034408337588541E-3</v>
      </c>
      <c r="D24" s="5">
        <f t="shared" si="8"/>
        <v>-1.4684192841549829E-3</v>
      </c>
      <c r="E24" s="5">
        <f t="shared" si="9"/>
        <v>-1.2439699035904986E-3</v>
      </c>
    </row>
    <row r="25" spans="1:6" x14ac:dyDescent="0.3">
      <c r="A25" t="str">
        <f t="shared" si="5"/>
        <v>Referral</v>
      </c>
      <c r="B25" s="5">
        <f t="shared" si="6"/>
        <v>3.9074149341671693E-2</v>
      </c>
      <c r="C25" s="5">
        <f t="shared" si="7"/>
        <v>-5.3486244542804151E-3</v>
      </c>
      <c r="D25" s="5">
        <f t="shared" si="8"/>
        <v>-4.5807729636526129E-3</v>
      </c>
      <c r="E25" s="5">
        <f t="shared" si="9"/>
        <v>-2.8627962003709012E-3</v>
      </c>
    </row>
    <row r="26" spans="1:6" x14ac:dyDescent="0.3">
      <c r="A26" t="str">
        <f t="shared" si="5"/>
        <v>Direct</v>
      </c>
      <c r="B26" s="5">
        <f t="shared" si="6"/>
        <v>-0.21922907403646963</v>
      </c>
      <c r="C26" s="5">
        <f t="shared" si="7"/>
        <v>6.1963926808379366E-3</v>
      </c>
      <c r="D26" s="5">
        <f t="shared" si="8"/>
        <v>5.6045402209376483E-3</v>
      </c>
      <c r="E26" s="5">
        <f t="shared" si="9"/>
        <v>4.948785850435955E-3</v>
      </c>
    </row>
    <row r="27" spans="1:6" x14ac:dyDescent="0.3">
      <c r="A27" t="str">
        <f t="shared" si="5"/>
        <v>Organic Search</v>
      </c>
      <c r="B27" s="5">
        <f t="shared" si="6"/>
        <v>1.5873601085115999E-2</v>
      </c>
      <c r="C27" s="5">
        <f t="shared" si="7"/>
        <v>1.4445109972982401E-3</v>
      </c>
      <c r="D27" s="5">
        <f t="shared" si="8"/>
        <v>9.5775585592919321E-4</v>
      </c>
      <c r="E27" s="5">
        <f t="shared" si="9"/>
        <v>-6.3321034595721637E-4</v>
      </c>
    </row>
    <row r="28" spans="1:6" x14ac:dyDescent="0.3">
      <c r="A28" t="str">
        <f t="shared" si="5"/>
        <v>Email</v>
      </c>
      <c r="B28" s="5">
        <f t="shared" si="6"/>
        <v>-0.14312739836790553</v>
      </c>
      <c r="C28" s="5">
        <f t="shared" si="7"/>
        <v>9.4166718558513773E-4</v>
      </c>
      <c r="D28" s="5">
        <f t="shared" si="8"/>
        <v>5.4481819311219537E-4</v>
      </c>
      <c r="E28" s="5">
        <f t="shared" si="9"/>
        <v>1.7407867278904365E-3</v>
      </c>
    </row>
    <row r="30" spans="1:6" x14ac:dyDescent="0.3">
      <c r="A30" t="s">
        <v>31</v>
      </c>
      <c r="B30" t="s">
        <v>32</v>
      </c>
    </row>
    <row r="31" spans="1:6" x14ac:dyDescent="0.3">
      <c r="A31" t="s">
        <v>33</v>
      </c>
      <c r="B31" s="7" cm="1">
        <f t="array" ref="B31">SUMPRODUCT(ABS(B2:B8-E2:E8))/COUNT(B2:B8)</f>
        <v>1253175.2314285715</v>
      </c>
    </row>
    <row r="32" spans="1:6" x14ac:dyDescent="0.3">
      <c r="A32" t="s">
        <v>34</v>
      </c>
      <c r="B32" s="7" cm="1">
        <f t="array" ref="B32">SUMPRODUCT(ABS(C2:C8-E2:E8))/COUNT(C2:C8)</f>
        <v>888222.75142857141</v>
      </c>
    </row>
    <row r="33" spans="1:2" x14ac:dyDescent="0.3">
      <c r="A33" t="s">
        <v>35</v>
      </c>
      <c r="B33" s="7" cm="1">
        <f t="array" ref="B33">SUMPRODUCT(ABS(D2:D8-E2:E8))/COUNT(D2:D8)</f>
        <v>38688.531428571427</v>
      </c>
    </row>
    <row r="34" spans="1:2" x14ac:dyDescent="0.3">
      <c r="A34" t="s">
        <v>36</v>
      </c>
      <c r="B34" cm="1">
        <f t="array" ref="B34">SUMPRODUCT(ABS(E2:E8-E2:E8))/COUNT(E2:E8)</f>
        <v>0</v>
      </c>
    </row>
    <row r="35" spans="1:2" x14ac:dyDescent="0.3">
      <c r="A35" t="s">
        <v>37</v>
      </c>
      <c r="B35" s="7" cm="1">
        <f t="array" ref="B35">SUMPRODUCT(ABS(F2:F8-E2:E8))/COUNT(F2:F8)</f>
        <v>86257.292857142835</v>
      </c>
    </row>
  </sheetData>
  <phoneticPr fontId="3" type="noConversion"/>
  <pageMargins left="0.7" right="0.7" top="0.75" bottom="0.75" header="0.3" footer="0.3"/>
  <pageSetup orientation="portrait" r:id="rId1"/>
  <headerFooter>
    <oddHeader>&amp;CCell Header
A1 Channel
B1 First-Touch Revenue
C1 Last-Touch Revenue
D1 Linear Revenue
E1 Time-Decay Revenue
F1 Position-Based Revenue</oddHeader>
  </headerFooter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312E-AA5E-4382-83E8-2DD86ABF497B}">
  <dimension ref="A1:F4"/>
  <sheetViews>
    <sheetView workbookViewId="0">
      <selection activeCell="F3" sqref="F3"/>
    </sheetView>
  </sheetViews>
  <sheetFormatPr defaultRowHeight="14.4" x14ac:dyDescent="0.3"/>
  <cols>
    <col min="1" max="1" width="9.6640625" customWidth="1"/>
    <col min="2" max="2" width="16.77734375" customWidth="1"/>
    <col min="3" max="3" width="13" customWidth="1"/>
    <col min="4" max="4" width="18.7773437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10</v>
      </c>
      <c r="B2">
        <v>21173.13</v>
      </c>
      <c r="C2">
        <v>1151</v>
      </c>
      <c r="D2">
        <f>Attribution_Comparison!E2</f>
        <v>133688.35999999999</v>
      </c>
      <c r="E2" s="7">
        <f>B2/C2</f>
        <v>18.395421372719376</v>
      </c>
      <c r="F2" s="8">
        <f>D2/B2</f>
        <v>6.3140574870130202</v>
      </c>
    </row>
    <row r="3" spans="1:6" x14ac:dyDescent="0.3">
      <c r="A3" t="s">
        <v>11</v>
      </c>
      <c r="B3">
        <v>231677.45</v>
      </c>
      <c r="C3">
        <v>1574</v>
      </c>
      <c r="D3">
        <f>Attribution_Comparison!E3</f>
        <v>1184829.55</v>
      </c>
      <c r="E3" s="7">
        <f t="shared" ref="E3:E4" si="0">B3/C3</f>
        <v>147.19024777636596</v>
      </c>
      <c r="F3" s="8">
        <f t="shared" ref="F3:F4" si="1">D3/B3</f>
        <v>5.1141341118870223</v>
      </c>
    </row>
    <row r="4" spans="1:6" x14ac:dyDescent="0.3">
      <c r="A4" t="s">
        <v>12</v>
      </c>
      <c r="B4">
        <v>72535.83</v>
      </c>
      <c r="C4">
        <v>1786</v>
      </c>
      <c r="D4">
        <f>Attribution_Comparison!E4</f>
        <v>196735.41</v>
      </c>
      <c r="E4" s="7">
        <f t="shared" si="0"/>
        <v>40.61356662933931</v>
      </c>
      <c r="F4" s="8">
        <f t="shared" si="1"/>
        <v>2.7122514486978364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DB18-DA28-4B04-952A-0FDEA6B9912A}">
  <dimension ref="A1:H19"/>
  <sheetViews>
    <sheetView tabSelected="1" workbookViewId="0">
      <selection activeCell="F13" sqref="F13"/>
    </sheetView>
  </sheetViews>
  <sheetFormatPr defaultRowHeight="14.4" x14ac:dyDescent="0.3"/>
  <cols>
    <col min="1" max="1" width="21.33203125" customWidth="1"/>
    <col min="2" max="2" width="12.88671875" customWidth="1"/>
    <col min="3" max="3" width="16" customWidth="1"/>
    <col min="4" max="4" width="13.21875" customWidth="1"/>
    <col min="5" max="5" width="21.6640625" customWidth="1"/>
    <col min="6" max="6" width="21.109375" customWidth="1"/>
    <col min="7" max="7" width="18" customWidth="1"/>
    <col min="8" max="8" width="16.6640625" customWidth="1"/>
  </cols>
  <sheetData>
    <row r="1" spans="1:8" ht="28.8" x14ac:dyDescent="0.3">
      <c r="A1" s="2" t="s">
        <v>0</v>
      </c>
      <c r="B1" s="2" t="s">
        <v>41</v>
      </c>
      <c r="C1" s="2" t="s">
        <v>6</v>
      </c>
      <c r="D1" s="2" t="s">
        <v>38</v>
      </c>
      <c r="E1" s="2" t="s">
        <v>39</v>
      </c>
      <c r="F1" s="2" t="s">
        <v>40</v>
      </c>
      <c r="G1" s="2" t="s">
        <v>42</v>
      </c>
      <c r="H1" s="2" t="s">
        <v>43</v>
      </c>
    </row>
    <row r="2" spans="1:8" x14ac:dyDescent="0.3">
      <c r="A2" t="s">
        <v>10</v>
      </c>
      <c r="B2" s="7">
        <f>Paid_Channel_Analysis!B2</f>
        <v>21173.13</v>
      </c>
      <c r="C2" s="8">
        <f>Paid_Channel_Analysis!F2</f>
        <v>6.3140574870130202</v>
      </c>
      <c r="D2" s="9">
        <f>C2/SUM($C$2:$C$4)</f>
        <v>0.44652472809793797</v>
      </c>
      <c r="E2" s="7">
        <f>D2*SUM($B$2:$B$4)</f>
        <v>145293.07825201418</v>
      </c>
      <c r="F2" s="7">
        <f>E2*C2</f>
        <v>917388.8485482987</v>
      </c>
      <c r="G2" s="7">
        <f>E2-B2</f>
        <v>124119.94825201418</v>
      </c>
      <c r="H2" t="str">
        <f>IF(C2&gt;=5,"Increase / Prioritize",IF(C2&gt;=3,"Maintain / Optimize","Reduce"))</f>
        <v>Increase / Prioritize</v>
      </c>
    </row>
    <row r="3" spans="1:8" x14ac:dyDescent="0.3">
      <c r="A3" t="s">
        <v>11</v>
      </c>
      <c r="B3" s="7">
        <f>Paid_Channel_Analysis!B3</f>
        <v>231677.45</v>
      </c>
      <c r="C3" s="8">
        <f>Paid_Channel_Analysis!F3</f>
        <v>5.1141341118870223</v>
      </c>
      <c r="D3" s="9">
        <f t="shared" ref="D3:D4" si="0">C3/SUM($C$2:$C$4)</f>
        <v>0.36166717652851693</v>
      </c>
      <c r="E3" s="7">
        <f t="shared" ref="E3:E4" si="1">D3*SUM($B$2:$B$4)</f>
        <v>117681.5841854504</v>
      </c>
      <c r="F3" s="7">
        <f t="shared" ref="F3:F4" si="2">E3*C3</f>
        <v>601839.40402371623</v>
      </c>
      <c r="G3" s="8">
        <f t="shared" ref="G3:G4" si="3">E3-B3</f>
        <v>-113995.86581454962</v>
      </c>
      <c r="H3" t="str">
        <f t="shared" ref="H3:H4" si="4">IF(C3&gt;=5,"Increase / Prioritize",IF(C3&gt;=3,"Maintain / Optimize","Reduce"))</f>
        <v>Increase / Prioritize</v>
      </c>
    </row>
    <row r="4" spans="1:8" x14ac:dyDescent="0.3">
      <c r="A4" t="s">
        <v>12</v>
      </c>
      <c r="B4" s="7">
        <f>Paid_Channel_Analysis!B4</f>
        <v>72535.83</v>
      </c>
      <c r="C4" s="8">
        <f>Paid_Channel_Analysis!F4</f>
        <v>2.7122514486978364</v>
      </c>
      <c r="D4" s="9">
        <f t="shared" si="0"/>
        <v>0.19180809537354507</v>
      </c>
      <c r="E4" s="7">
        <f t="shared" si="1"/>
        <v>62411.747562535442</v>
      </c>
      <c r="F4" s="7">
        <f t="shared" si="2"/>
        <v>169276.35274225043</v>
      </c>
      <c r="G4" s="7">
        <f t="shared" si="3"/>
        <v>-10124.08243746456</v>
      </c>
      <c r="H4" t="str">
        <f t="shared" si="4"/>
        <v>Reduce</v>
      </c>
    </row>
    <row r="7" spans="1:8" ht="28.8" x14ac:dyDescent="0.3">
      <c r="A7" s="11" t="s">
        <v>44</v>
      </c>
      <c r="B7" s="10">
        <v>1000000</v>
      </c>
    </row>
    <row r="10" spans="1:8" x14ac:dyDescent="0.3">
      <c r="A10" t="s">
        <v>0</v>
      </c>
      <c r="B10" t="s">
        <v>6</v>
      </c>
      <c r="C10" t="s">
        <v>5</v>
      </c>
      <c r="D10" t="s">
        <v>38</v>
      </c>
      <c r="E10" t="s">
        <v>39</v>
      </c>
      <c r="F10" t="s">
        <v>45</v>
      </c>
      <c r="G10" t="s">
        <v>40</v>
      </c>
    </row>
    <row r="11" spans="1:8" x14ac:dyDescent="0.3">
      <c r="A11" t="s">
        <v>10</v>
      </c>
      <c r="B11" s="8">
        <f>Budget_Model!C2</f>
        <v>6.3140574870130202</v>
      </c>
      <c r="C11" s="7">
        <f>Paid_Channel_Analysis!E2</f>
        <v>18.395421372719376</v>
      </c>
      <c r="D11" s="9">
        <f>B11/SUM($B$11:$B$13)</f>
        <v>0.44652472809793797</v>
      </c>
      <c r="E11" s="7">
        <f>$B$7*D11</f>
        <v>446524.728097938</v>
      </c>
      <c r="F11" s="7">
        <f>E11/C11</f>
        <v>24273.68849294963</v>
      </c>
      <c r="G11" s="7">
        <f>E11*B11</f>
        <v>2819382.8025832386</v>
      </c>
    </row>
    <row r="12" spans="1:8" x14ac:dyDescent="0.3">
      <c r="A12" t="s">
        <v>11</v>
      </c>
      <c r="B12" s="8">
        <f>Budget_Model!C3</f>
        <v>5.1141341118870223</v>
      </c>
      <c r="C12" s="7">
        <f>Paid_Channel_Analysis!E3</f>
        <v>147.19024777636596</v>
      </c>
      <c r="D12" s="9">
        <f t="shared" ref="D12:D13" si="5">B12/SUM($B$11:$B$13)</f>
        <v>0.36166717652851693</v>
      </c>
      <c r="E12" s="7">
        <f t="shared" ref="E12:E13" si="6">$B$7*D12</f>
        <v>361667.17652851692</v>
      </c>
      <c r="F12" s="7">
        <f t="shared" ref="F12:F13" si="7">E12/C12</f>
        <v>2457.1408907335849</v>
      </c>
      <c r="G12" s="7">
        <f t="shared" ref="G12:G13" si="8">E12*B12</f>
        <v>1849614.4446343537</v>
      </c>
    </row>
    <row r="13" spans="1:8" x14ac:dyDescent="0.3">
      <c r="A13" t="s">
        <v>12</v>
      </c>
      <c r="B13" s="8">
        <f>Budget_Model!C4</f>
        <v>2.7122514486978364</v>
      </c>
      <c r="C13" s="7">
        <f>Paid_Channel_Analysis!E4</f>
        <v>40.61356662933931</v>
      </c>
      <c r="D13" s="9">
        <f t="shared" si="5"/>
        <v>0.19180809537354507</v>
      </c>
      <c r="E13" s="7">
        <f t="shared" si="6"/>
        <v>191808.09537354507</v>
      </c>
      <c r="F13" s="7">
        <f t="shared" si="7"/>
        <v>4722.7591982769272</v>
      </c>
      <c r="G13" s="7">
        <f t="shared" si="8"/>
        <v>520231.7845488704</v>
      </c>
    </row>
    <row r="14" spans="1:8" x14ac:dyDescent="0.3">
      <c r="A14" t="s">
        <v>46</v>
      </c>
      <c r="B14" s="12">
        <f>G14/E14</f>
        <v>5.1892290317664624</v>
      </c>
      <c r="C14" s="12">
        <f>E14/F14</f>
        <v>31.792874679283461</v>
      </c>
      <c r="D14" s="9">
        <f>SUM(D11:D13)</f>
        <v>1</v>
      </c>
      <c r="E14" s="12">
        <f>$B$7*D14</f>
        <v>1000000</v>
      </c>
      <c r="F14" s="7">
        <f>SUM(F11:F13)</f>
        <v>31453.588581960143</v>
      </c>
      <c r="G14" s="7">
        <f>SUM(G11:G13)</f>
        <v>5189229.0317664621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s="5">
        <v>0.1</v>
      </c>
      <c r="C18" t="s">
        <v>51</v>
      </c>
    </row>
    <row r="19" spans="1:3" x14ac:dyDescent="0.3">
      <c r="A19" t="s">
        <v>52</v>
      </c>
      <c r="B19" s="5">
        <v>0.5</v>
      </c>
      <c r="C19" t="s">
        <v>53</v>
      </c>
    </row>
  </sheetData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8528795-5D3E-4442-90D6-89869F5AF3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Budget_Model!A2:A2</xm:f>
              <xm:sqref>C2</xm:sqref>
            </x14:sparkline>
            <x14:sparkline>
              <xm:f>Budget_Model!A3:A3</xm:f>
              <xm:sqref>C3</xm:sqref>
            </x14:sparkline>
            <x14:sparkline>
              <xm:f>Budget_Model!A4:A4</xm:f>
              <xm:sqref>C4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07EB-578A-4ABD-BED1-772F698A17F2}">
  <dimension ref="A1:H16"/>
  <sheetViews>
    <sheetView workbookViewId="0">
      <selection activeCell="I16" sqref="I16"/>
    </sheetView>
  </sheetViews>
  <sheetFormatPr defaultRowHeight="14.4" x14ac:dyDescent="0.3"/>
  <cols>
    <col min="1" max="1" width="10.21875" customWidth="1"/>
    <col min="2" max="2" width="13.109375" style="12" bestFit="1" customWidth="1"/>
    <col min="3" max="3" width="17.77734375" customWidth="1"/>
    <col min="4" max="4" width="16.6640625" customWidth="1"/>
    <col min="5" max="5" width="15.6640625" style="7" customWidth="1"/>
    <col min="6" max="6" width="14.5546875" customWidth="1"/>
    <col min="7" max="7" width="18" customWidth="1"/>
    <col min="8" max="8" width="21.109375" customWidth="1"/>
  </cols>
  <sheetData>
    <row r="1" spans="1:8" x14ac:dyDescent="0.3">
      <c r="A1" t="s">
        <v>54</v>
      </c>
      <c r="B1" s="12" t="s">
        <v>55</v>
      </c>
      <c r="C1" t="s">
        <v>56</v>
      </c>
      <c r="D1" t="s">
        <v>57</v>
      </c>
      <c r="E1" s="7" t="s">
        <v>58</v>
      </c>
      <c r="F1" s="12" t="s">
        <v>59</v>
      </c>
      <c r="G1" s="12" t="s">
        <v>40</v>
      </c>
      <c r="H1" t="s">
        <v>45</v>
      </c>
    </row>
    <row r="2" spans="1:8" x14ac:dyDescent="0.3">
      <c r="A2" t="s">
        <v>60</v>
      </c>
      <c r="B2" s="12">
        <v>500000</v>
      </c>
      <c r="C2" s="5">
        <v>0.8</v>
      </c>
      <c r="D2" s="5">
        <v>1.2</v>
      </c>
      <c r="E2" s="7">
        <f>Budget_Model!$B$14*C2</f>
        <v>4.15138322541317</v>
      </c>
      <c r="F2" s="12">
        <f>Budget_Model!$C$14*D2</f>
        <v>38.151449615140152</v>
      </c>
      <c r="G2" s="12">
        <f>B2*E2</f>
        <v>2075691.6127065851</v>
      </c>
      <c r="H2" s="7">
        <f>B2/F2</f>
        <v>13105.66190915006</v>
      </c>
    </row>
    <row r="3" spans="1:8" x14ac:dyDescent="0.3">
      <c r="A3" t="s">
        <v>60</v>
      </c>
      <c r="B3" s="12">
        <v>750000</v>
      </c>
      <c r="C3" s="5">
        <v>0.8</v>
      </c>
      <c r="D3" s="5">
        <v>1.2</v>
      </c>
      <c r="E3" s="7">
        <f>Budget_Model!$B$14*C3</f>
        <v>4.15138322541317</v>
      </c>
      <c r="F3" s="12">
        <f>Budget_Model!$C$14*D3</f>
        <v>38.151449615140152</v>
      </c>
      <c r="G3" s="12">
        <f t="shared" ref="G3:G16" si="0">B3*E3</f>
        <v>3113537.4190598773</v>
      </c>
      <c r="H3" s="7">
        <f t="shared" ref="H3:H16" si="1">B3/F3</f>
        <v>19658.492863725089</v>
      </c>
    </row>
    <row r="4" spans="1:8" x14ac:dyDescent="0.3">
      <c r="A4" t="s">
        <v>60</v>
      </c>
      <c r="B4" s="12">
        <v>1000000</v>
      </c>
      <c r="C4" s="5">
        <v>0.8</v>
      </c>
      <c r="D4" s="5">
        <v>1.2</v>
      </c>
      <c r="E4" s="7">
        <f>Budget_Model!$B$14*C4</f>
        <v>4.15138322541317</v>
      </c>
      <c r="F4" s="12">
        <f>Budget_Model!$C$14*D4</f>
        <v>38.151449615140152</v>
      </c>
      <c r="G4" s="12">
        <f t="shared" si="0"/>
        <v>4151383.2254131702</v>
      </c>
      <c r="H4" s="7">
        <f t="shared" si="1"/>
        <v>26211.323818300119</v>
      </c>
    </row>
    <row r="5" spans="1:8" x14ac:dyDescent="0.3">
      <c r="A5" t="s">
        <v>60</v>
      </c>
      <c r="B5" s="12">
        <v>1250000</v>
      </c>
      <c r="C5" s="5">
        <v>0.8</v>
      </c>
      <c r="D5" s="5">
        <v>1.2</v>
      </c>
      <c r="E5" s="7">
        <f>Budget_Model!$B$14*C5</f>
        <v>4.15138322541317</v>
      </c>
      <c r="F5" s="12">
        <f>Budget_Model!$C$14*D5</f>
        <v>38.151449615140152</v>
      </c>
      <c r="G5" s="12">
        <f t="shared" si="0"/>
        <v>5189229.0317664621</v>
      </c>
      <c r="H5" s="7">
        <f t="shared" si="1"/>
        <v>32764.15477287515</v>
      </c>
    </row>
    <row r="6" spans="1:8" x14ac:dyDescent="0.3">
      <c r="A6" t="s">
        <v>60</v>
      </c>
      <c r="B6" s="12">
        <v>1500000</v>
      </c>
      <c r="C6" s="5">
        <v>0.8</v>
      </c>
      <c r="D6" s="5">
        <v>1.2</v>
      </c>
      <c r="E6" s="7">
        <f>Budget_Model!$B$14*C6</f>
        <v>4.15138322541317</v>
      </c>
      <c r="F6" s="12">
        <f>Budget_Model!$C$14*D6</f>
        <v>38.151449615140152</v>
      </c>
      <c r="G6" s="12">
        <f t="shared" si="0"/>
        <v>6227074.8381197546</v>
      </c>
      <c r="H6" s="7">
        <f t="shared" si="1"/>
        <v>39316.985727450177</v>
      </c>
    </row>
    <row r="7" spans="1:8" x14ac:dyDescent="0.3">
      <c r="A7" t="s">
        <v>61</v>
      </c>
      <c r="B7" s="12">
        <v>500000</v>
      </c>
      <c r="C7" s="5">
        <v>1</v>
      </c>
      <c r="D7" s="5">
        <v>1</v>
      </c>
      <c r="E7" s="7">
        <f>Budget_Model!$B$14*C7</f>
        <v>5.1892290317664624</v>
      </c>
      <c r="F7" s="12">
        <f>Budget_Model!$C$14*D7</f>
        <v>31.792874679283461</v>
      </c>
      <c r="G7" s="12">
        <f t="shared" si="0"/>
        <v>2594614.5158832311</v>
      </c>
      <c r="H7" s="7">
        <f t="shared" si="1"/>
        <v>15726.794290980071</v>
      </c>
    </row>
    <row r="8" spans="1:8" x14ac:dyDescent="0.3">
      <c r="A8" t="s">
        <v>61</v>
      </c>
      <c r="B8" s="12">
        <v>750000</v>
      </c>
      <c r="C8" s="5">
        <v>1</v>
      </c>
      <c r="D8" s="5">
        <v>1</v>
      </c>
      <c r="E8" s="7">
        <f>Budget_Model!$B$14*C8</f>
        <v>5.1892290317664624</v>
      </c>
      <c r="F8" s="12">
        <f>Budget_Model!$C$14*D8</f>
        <v>31.792874679283461</v>
      </c>
      <c r="G8" s="12">
        <f t="shared" si="0"/>
        <v>3891921.7738248468</v>
      </c>
      <c r="H8" s="7">
        <f t="shared" si="1"/>
        <v>23590.191436470108</v>
      </c>
    </row>
    <row r="9" spans="1:8" x14ac:dyDescent="0.3">
      <c r="A9" t="s">
        <v>61</v>
      </c>
      <c r="B9" s="12">
        <v>1000000</v>
      </c>
      <c r="C9" s="5">
        <v>1</v>
      </c>
      <c r="D9" s="5">
        <v>1</v>
      </c>
      <c r="E9" s="7">
        <f>Budget_Model!$B$14*C9</f>
        <v>5.1892290317664624</v>
      </c>
      <c r="F9" s="12">
        <f>Budget_Model!$C$14*D9</f>
        <v>31.792874679283461</v>
      </c>
      <c r="G9" s="12">
        <f t="shared" si="0"/>
        <v>5189229.0317664621</v>
      </c>
      <c r="H9" s="7">
        <f t="shared" si="1"/>
        <v>31453.588581960143</v>
      </c>
    </row>
    <row r="10" spans="1:8" x14ac:dyDescent="0.3">
      <c r="A10" t="s">
        <v>61</v>
      </c>
      <c r="B10" s="12">
        <v>1250000</v>
      </c>
      <c r="C10" s="5">
        <v>1</v>
      </c>
      <c r="D10" s="5">
        <v>1</v>
      </c>
      <c r="E10" s="7">
        <f>Budget_Model!$B$14*C10</f>
        <v>5.1892290317664624</v>
      </c>
      <c r="F10" s="12">
        <f>Budget_Model!$C$14*D10</f>
        <v>31.792874679283461</v>
      </c>
      <c r="G10" s="12">
        <f t="shared" si="0"/>
        <v>6486536.2897080779</v>
      </c>
      <c r="H10" s="7">
        <f t="shared" si="1"/>
        <v>39316.985727450177</v>
      </c>
    </row>
    <row r="11" spans="1:8" x14ac:dyDescent="0.3">
      <c r="A11" t="s">
        <v>61</v>
      </c>
      <c r="B11" s="12">
        <v>1500000</v>
      </c>
      <c r="C11" s="5">
        <v>1</v>
      </c>
      <c r="D11" s="5">
        <v>1</v>
      </c>
      <c r="E11" s="7">
        <f>Budget_Model!$B$14*C11</f>
        <v>5.1892290317664624</v>
      </c>
      <c r="F11" s="12">
        <f>Budget_Model!$C$14*D11</f>
        <v>31.792874679283461</v>
      </c>
      <c r="G11" s="12">
        <f t="shared" si="0"/>
        <v>7783843.5476496937</v>
      </c>
      <c r="H11" s="7">
        <f t="shared" si="1"/>
        <v>47180.382872940216</v>
      </c>
    </row>
    <row r="12" spans="1:8" x14ac:dyDescent="0.3">
      <c r="A12" t="s">
        <v>62</v>
      </c>
      <c r="B12" s="12">
        <v>500000</v>
      </c>
      <c r="C12" s="5">
        <v>1.2</v>
      </c>
      <c r="D12" s="5">
        <v>0.8</v>
      </c>
      <c r="E12" s="7">
        <f>Budget_Model!$B$14*C12</f>
        <v>6.2270748381197549</v>
      </c>
      <c r="F12" s="12">
        <f>Budget_Model!$C$14*D12</f>
        <v>25.43429974342677</v>
      </c>
      <c r="G12" s="12">
        <f t="shared" si="0"/>
        <v>3113537.4190598773</v>
      </c>
      <c r="H12" s="7">
        <f t="shared" si="1"/>
        <v>19658.492863725089</v>
      </c>
    </row>
    <row r="13" spans="1:8" x14ac:dyDescent="0.3">
      <c r="A13" t="s">
        <v>62</v>
      </c>
      <c r="B13" s="12">
        <v>750000</v>
      </c>
      <c r="C13" s="5">
        <v>1.2</v>
      </c>
      <c r="D13" s="5">
        <v>0.8</v>
      </c>
      <c r="E13" s="7">
        <f>Budget_Model!$B$14*C13</f>
        <v>6.2270748381197549</v>
      </c>
      <c r="F13" s="12">
        <f>Budget_Model!$C$14*D13</f>
        <v>25.43429974342677</v>
      </c>
      <c r="G13" s="12">
        <f t="shared" si="0"/>
        <v>4670306.1285898164</v>
      </c>
      <c r="H13" s="7">
        <f t="shared" si="1"/>
        <v>29487.739295587631</v>
      </c>
    </row>
    <row r="14" spans="1:8" x14ac:dyDescent="0.3">
      <c r="A14" t="s">
        <v>62</v>
      </c>
      <c r="B14" s="12">
        <v>1000000</v>
      </c>
      <c r="C14" s="5">
        <v>1.2</v>
      </c>
      <c r="D14" s="5">
        <v>0.8</v>
      </c>
      <c r="E14" s="7">
        <f>Budget_Model!$B$14*C14</f>
        <v>6.2270748381197549</v>
      </c>
      <c r="F14" s="12">
        <f>Budget_Model!$C$14*D14</f>
        <v>25.43429974342677</v>
      </c>
      <c r="G14" s="12">
        <f t="shared" si="0"/>
        <v>6227074.8381197546</v>
      </c>
      <c r="H14" s="7">
        <f t="shared" si="1"/>
        <v>39316.985727450177</v>
      </c>
    </row>
    <row r="15" spans="1:8" x14ac:dyDescent="0.3">
      <c r="A15" t="s">
        <v>62</v>
      </c>
      <c r="B15" s="12">
        <v>1250000</v>
      </c>
      <c r="C15" s="5">
        <v>1.2</v>
      </c>
      <c r="D15" s="5">
        <v>0.8</v>
      </c>
      <c r="E15" s="7">
        <f>Budget_Model!$B$14*C15</f>
        <v>6.2270748381197549</v>
      </c>
      <c r="F15" s="12">
        <f>Budget_Model!$C$14*D15</f>
        <v>25.43429974342677</v>
      </c>
      <c r="G15" s="12">
        <f t="shared" si="0"/>
        <v>7783843.5476496937</v>
      </c>
      <c r="H15" s="7">
        <f t="shared" si="1"/>
        <v>49146.23215931272</v>
      </c>
    </row>
    <row r="16" spans="1:8" x14ac:dyDescent="0.3">
      <c r="A16" t="s">
        <v>62</v>
      </c>
      <c r="B16" s="12">
        <v>1500000</v>
      </c>
      <c r="C16" s="5">
        <v>1.2</v>
      </c>
      <c r="D16" s="5">
        <v>0.8</v>
      </c>
      <c r="E16" s="7">
        <f>Budget_Model!$B$14*C16</f>
        <v>6.2270748381197549</v>
      </c>
      <c r="F16" s="12">
        <f>Budget_Model!$C$14*D16</f>
        <v>25.43429974342677</v>
      </c>
      <c r="G16" s="12">
        <f t="shared" si="0"/>
        <v>9340612.2571796328</v>
      </c>
      <c r="H16" s="7">
        <f t="shared" si="1"/>
        <v>58975.478591175262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A980-E0D5-4779-B188-E1B865FD13CD}">
  <dimension ref="A1:E6"/>
  <sheetViews>
    <sheetView zoomScale="85" zoomScaleNormal="85" workbookViewId="0">
      <selection activeCell="C5" sqref="C5"/>
    </sheetView>
  </sheetViews>
  <sheetFormatPr defaultRowHeight="14.4" x14ac:dyDescent="0.3"/>
  <cols>
    <col min="1" max="1" width="26.21875" style="14" customWidth="1"/>
    <col min="2" max="2" width="17.21875" customWidth="1"/>
    <col min="3" max="3" width="19.6640625" customWidth="1"/>
    <col min="4" max="4" width="19.109375" customWidth="1"/>
    <col min="5" max="5" width="21.88671875" customWidth="1"/>
  </cols>
  <sheetData>
    <row r="1" spans="1:5" x14ac:dyDescent="0.3">
      <c r="A1" s="14" t="s">
        <v>63</v>
      </c>
      <c r="B1" t="s">
        <v>64</v>
      </c>
      <c r="C1" t="s">
        <v>65</v>
      </c>
      <c r="D1" t="s">
        <v>66</v>
      </c>
      <c r="E1" t="s">
        <v>49</v>
      </c>
    </row>
    <row r="2" spans="1:5" x14ac:dyDescent="0.3">
      <c r="A2" s="14" t="s">
        <v>67</v>
      </c>
      <c r="B2" s="12">
        <f>SUM(Channel_Performance!C2:C4)</f>
        <v>325386.41000000003</v>
      </c>
      <c r="C2" s="12">
        <f>SUM(Paid_Channel_Analysis!B2:B4)</f>
        <v>325386.41000000003</v>
      </c>
      <c r="D2" s="12">
        <f>B2-C2</f>
        <v>0</v>
      </c>
      <c r="E2" t="str">
        <f>IF(ABS(D2)&lt;0.01,"MATCH","CHECK")</f>
        <v>MATCH</v>
      </c>
    </row>
    <row r="3" spans="1:5" x14ac:dyDescent="0.3">
      <c r="A3" s="14" t="s">
        <v>68</v>
      </c>
      <c r="B3" s="8">
        <f>SUM(Channel_Performance!D2:D4)</f>
        <v>4511</v>
      </c>
      <c r="C3" s="8">
        <f>SUM(Paid_Channel_Analysis!C2:C4)</f>
        <v>4511</v>
      </c>
      <c r="D3" s="8">
        <f t="shared" ref="D3:D6" si="0">B3-C3</f>
        <v>0</v>
      </c>
      <c r="E3" t="str">
        <f t="shared" ref="E3:E6" si="1">IF(ABS(D3)&lt;0.01,"MATCH","CHECK")</f>
        <v>MATCH</v>
      </c>
    </row>
    <row r="4" spans="1:5" x14ac:dyDescent="0.3">
      <c r="A4" s="14" t="s">
        <v>69</v>
      </c>
      <c r="B4" s="12">
        <f>SUM(Channel_Performance!E2:E8)</f>
        <v>11354450.640000001</v>
      </c>
      <c r="C4" s="12">
        <f>SUM(Attribution_Comparison!B2:B8)</f>
        <v>11354450.640000001</v>
      </c>
      <c r="D4" s="12">
        <f t="shared" si="0"/>
        <v>0</v>
      </c>
      <c r="E4" t="str">
        <f t="shared" si="1"/>
        <v>MATCH</v>
      </c>
    </row>
    <row r="5" spans="1:5" x14ac:dyDescent="0.3">
      <c r="A5" s="14" t="s">
        <v>70</v>
      </c>
      <c r="B5" s="12">
        <f>B2/B3</f>
        <v>72.131769009088899</v>
      </c>
      <c r="C5" s="12">
        <f>C2/C3</f>
        <v>72.131769009088899</v>
      </c>
      <c r="D5" s="12">
        <f t="shared" si="0"/>
        <v>0</v>
      </c>
      <c r="E5" t="str">
        <f t="shared" si="1"/>
        <v>MATCH</v>
      </c>
    </row>
    <row r="6" spans="1:5" x14ac:dyDescent="0.3">
      <c r="A6" s="14" t="s">
        <v>71</v>
      </c>
      <c r="B6" s="7">
        <f>B4/B2</f>
        <v>34.895282319873161</v>
      </c>
      <c r="C6" s="7">
        <f>C4/C2</f>
        <v>34.895282319873161</v>
      </c>
      <c r="D6" s="7">
        <f t="shared" si="0"/>
        <v>0</v>
      </c>
      <c r="E6" t="str">
        <f t="shared" si="1"/>
        <v>MATCH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6832-32DB-43A6-BD11-FB662A856495}">
  <dimension ref="A1:C15"/>
  <sheetViews>
    <sheetView zoomScale="86" workbookViewId="0">
      <selection activeCell="D19" sqref="D19"/>
    </sheetView>
  </sheetViews>
  <sheetFormatPr defaultRowHeight="14.4" x14ac:dyDescent="0.3"/>
  <cols>
    <col min="1" max="1" width="26.5546875" customWidth="1"/>
    <col min="2" max="2" width="33.33203125" style="13" customWidth="1"/>
    <col min="3" max="3" width="42.6640625" customWidth="1"/>
  </cols>
  <sheetData>
    <row r="1" spans="1:3" x14ac:dyDescent="0.3">
      <c r="A1" s="1"/>
      <c r="B1" s="1"/>
      <c r="C1" s="1"/>
    </row>
    <row r="2" spans="1:3" x14ac:dyDescent="0.3">
      <c r="A2" s="15" t="s">
        <v>73</v>
      </c>
      <c r="B2" s="15" t="s">
        <v>74</v>
      </c>
      <c r="C2" s="15" t="s">
        <v>75</v>
      </c>
    </row>
    <row r="3" spans="1:3" x14ac:dyDescent="0.3">
      <c r="A3" s="2" t="s">
        <v>76</v>
      </c>
      <c r="B3" s="2" t="s">
        <v>77</v>
      </c>
      <c r="C3" s="2" t="s">
        <v>78</v>
      </c>
    </row>
    <row r="4" spans="1:3" ht="28.8" x14ac:dyDescent="0.3">
      <c r="A4" s="2" t="s">
        <v>79</v>
      </c>
      <c r="B4" s="2" t="s">
        <v>80</v>
      </c>
      <c r="C4" s="2" t="s">
        <v>81</v>
      </c>
    </row>
    <row r="5" spans="1:3" x14ac:dyDescent="0.3">
      <c r="A5" s="2" t="s">
        <v>82</v>
      </c>
      <c r="B5" s="2" t="s">
        <v>83</v>
      </c>
      <c r="C5" s="2" t="s">
        <v>84</v>
      </c>
    </row>
    <row r="6" spans="1:3" x14ac:dyDescent="0.3">
      <c r="A6" s="2" t="s">
        <v>5</v>
      </c>
      <c r="B6" s="2" t="s">
        <v>85</v>
      </c>
      <c r="C6" s="2" t="s">
        <v>86</v>
      </c>
    </row>
    <row r="7" spans="1:3" x14ac:dyDescent="0.3">
      <c r="A7" s="2" t="s">
        <v>6</v>
      </c>
      <c r="B7" s="2" t="s">
        <v>87</v>
      </c>
      <c r="C7" s="2" t="s">
        <v>88</v>
      </c>
    </row>
    <row r="8" spans="1:3" x14ac:dyDescent="0.3">
      <c r="A8" s="2" t="s">
        <v>89</v>
      </c>
      <c r="B8" s="2" t="s">
        <v>90</v>
      </c>
      <c r="C8" s="2" t="s">
        <v>91</v>
      </c>
    </row>
    <row r="9" spans="1:3" x14ac:dyDescent="0.3">
      <c r="A9" s="2" t="s">
        <v>92</v>
      </c>
      <c r="B9" s="2" t="s">
        <v>93</v>
      </c>
      <c r="C9" s="2" t="s">
        <v>94</v>
      </c>
    </row>
    <row r="10" spans="1:3" x14ac:dyDescent="0.3">
      <c r="A10" s="2" t="s">
        <v>44</v>
      </c>
      <c r="B10" s="20">
        <v>1000000</v>
      </c>
      <c r="C10" s="2" t="s">
        <v>95</v>
      </c>
    </row>
    <row r="11" spans="1:3" x14ac:dyDescent="0.3">
      <c r="A11" s="2" t="s">
        <v>96</v>
      </c>
      <c r="B11" s="21">
        <v>0.1</v>
      </c>
      <c r="C11" s="2" t="s">
        <v>97</v>
      </c>
    </row>
    <row r="12" spans="1:3" x14ac:dyDescent="0.3">
      <c r="A12" s="2" t="s">
        <v>98</v>
      </c>
      <c r="B12" s="21">
        <v>0.5</v>
      </c>
      <c r="C12" s="2" t="s">
        <v>99</v>
      </c>
    </row>
    <row r="13" spans="1:3" ht="28.8" x14ac:dyDescent="0.3">
      <c r="A13" s="2" t="s">
        <v>100</v>
      </c>
      <c r="B13" s="2" t="s">
        <v>101</v>
      </c>
      <c r="C13" s="2" t="s">
        <v>102</v>
      </c>
    </row>
    <row r="14" spans="1:3" x14ac:dyDescent="0.3">
      <c r="A14" s="2" t="s">
        <v>58</v>
      </c>
      <c r="B14" s="2" t="s">
        <v>103</v>
      </c>
      <c r="C14" s="2" t="s">
        <v>104</v>
      </c>
    </row>
    <row r="15" spans="1:3" x14ac:dyDescent="0.3">
      <c r="A15" s="2" t="s">
        <v>59</v>
      </c>
      <c r="B15" s="2" t="s">
        <v>105</v>
      </c>
      <c r="C15" s="2" t="s">
        <v>104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2F08-39FB-4E08-9C43-28194CD8CA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Executive_Summary</vt:lpstr>
      <vt:lpstr>Channel_Performance</vt:lpstr>
      <vt:lpstr>Attribution_Comparison</vt:lpstr>
      <vt:lpstr>Paid_Channel_Analysis</vt:lpstr>
      <vt:lpstr>Budget_Model</vt:lpstr>
      <vt:lpstr>Sensitivity_Analysis</vt:lpstr>
      <vt:lpstr>QA_Reconciliation</vt:lpstr>
      <vt:lpstr>Assumptions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shrivastav</dc:creator>
  <cp:lastModifiedBy>lakshay shrivastav</cp:lastModifiedBy>
  <dcterms:created xsi:type="dcterms:W3CDTF">2026-09-12T11:27:25Z</dcterms:created>
  <dcterms:modified xsi:type="dcterms:W3CDTF">2026-09-13T09:21:43Z</dcterms:modified>
</cp:coreProperties>
</file>